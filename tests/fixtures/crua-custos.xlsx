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çamento" sheetId="1" r:id="rId5"/>
    <sheet state="visible" name="Hipóteses Bilheteria" sheetId="2" r:id="rId6"/>
  </sheets>
  <definedNames/>
  <calcPr/>
</workbook>
</file>

<file path=xl/sharedStrings.xml><?xml version="1.0" encoding="utf-8"?>
<sst xmlns="http://schemas.openxmlformats.org/spreadsheetml/2006/main" count="289" uniqueCount="150">
  <si>
    <t>Crua</t>
  </si>
  <si>
    <t>28.11.2026 - CENTRO</t>
  </si>
  <si>
    <t xml:space="preserve">  🎵  ARTÍSTICO</t>
  </si>
  <si>
    <t>#</t>
  </si>
  <si>
    <t>Item</t>
  </si>
  <si>
    <t>Tipo / Nome</t>
  </si>
  <si>
    <t>Qtd</t>
  </si>
  <si>
    <t>Unit. (R$)</t>
  </si>
  <si>
    <t>Total (R$)</t>
  </si>
  <si>
    <t>Responsavel &amp; Pagamento</t>
  </si>
  <si>
    <t xml:space="preserve">Status </t>
  </si>
  <si>
    <t>PIX / CPF</t>
  </si>
  <si>
    <t>NF</t>
  </si>
  <si>
    <t>LINK NF</t>
  </si>
  <si>
    <t>Eli Iwasa</t>
  </si>
  <si>
    <t>a procura</t>
  </si>
  <si>
    <t>Paulete Lindacelva</t>
  </si>
  <si>
    <t>ZEI</t>
  </si>
  <si>
    <t>RNE</t>
  </si>
  <si>
    <t>Forastiere</t>
  </si>
  <si>
    <t xml:space="preserve">  TOTAL — ARTÍSTICO</t>
  </si>
  <si>
    <t xml:space="preserve">  👥  STAFF</t>
  </si>
  <si>
    <t>Status</t>
  </si>
  <si>
    <t>Produtor Craig</t>
  </si>
  <si>
    <t>Craig</t>
  </si>
  <si>
    <t>ok</t>
  </si>
  <si>
    <t>Produtor Campo</t>
  </si>
  <si>
    <t>Ramon</t>
  </si>
  <si>
    <t>Montagem / desmontagem</t>
  </si>
  <si>
    <t xml:space="preserve">Caio </t>
  </si>
  <si>
    <t>Hostess</t>
  </si>
  <si>
    <t>Olivia</t>
  </si>
  <si>
    <t>Atendente Bar (latas e cerveja)</t>
  </si>
  <si>
    <t>DVD</t>
  </si>
  <si>
    <t>Chef Bar</t>
  </si>
  <si>
    <t>Barmaid</t>
  </si>
  <si>
    <t>Serviço Achei Meu Drink</t>
  </si>
  <si>
    <t xml:space="preserve">Caixa c/ pirulito </t>
  </si>
  <si>
    <t>Rafa</t>
  </si>
  <si>
    <t>Segurança</t>
  </si>
  <si>
    <t>Wilson</t>
  </si>
  <si>
    <t>Bombeiro</t>
  </si>
  <si>
    <t>Ambulancia</t>
  </si>
  <si>
    <t>Limpeza + material</t>
  </si>
  <si>
    <t xml:space="preserve">Nara </t>
  </si>
  <si>
    <t>Frete e Running</t>
  </si>
  <si>
    <t xml:space="preserve">Policia </t>
  </si>
  <si>
    <t xml:space="preserve">  TOTAL — STAFF</t>
  </si>
  <si>
    <t xml:space="preserve">  🛒  COMPRAS / CONSUMÍVEIS</t>
  </si>
  <si>
    <t>Estatuto</t>
  </si>
  <si>
    <t>consumiveis (frutas)</t>
  </si>
  <si>
    <t>gelo escama</t>
  </si>
  <si>
    <t>gelo cubo filtrado</t>
  </si>
  <si>
    <t xml:space="preserve">copos </t>
  </si>
  <si>
    <t>EcoCopo</t>
  </si>
  <si>
    <t xml:space="preserve">  TOTAL — COMPRAS</t>
  </si>
  <si>
    <t xml:space="preserve">  🎛  EQUIPAMENTOS</t>
  </si>
  <si>
    <t>comment</t>
  </si>
  <si>
    <t>Core soundsystem</t>
  </si>
  <si>
    <t>Material Luz + projeto e illuminador + cenica</t>
  </si>
  <si>
    <t>Rider DJ</t>
  </si>
  <si>
    <t xml:space="preserve">mixer  + 2 cdj </t>
  </si>
  <si>
    <t xml:space="preserve">  TOTAL — EQUIPAMENTOS</t>
  </si>
  <si>
    <t xml:space="preserve">  🎛  SERVIÇOS</t>
  </si>
  <si>
    <t>Diretora de Arte</t>
  </si>
  <si>
    <t>Designer Junior</t>
  </si>
  <si>
    <t>Impressões</t>
  </si>
  <si>
    <t>Cardápio, Flyer pelos Bares, Avisos na Festa</t>
  </si>
  <si>
    <t>Fotografo 1</t>
  </si>
  <si>
    <t>Fotografo 2</t>
  </si>
  <si>
    <t>Filmmaker</t>
  </si>
  <si>
    <t>Editor de Video</t>
  </si>
  <si>
    <t>Regis</t>
  </si>
  <si>
    <t xml:space="preserve">  TOTAL — SERVIÇOS</t>
  </si>
  <si>
    <t xml:space="preserve">  🎛  MATERIAL</t>
  </si>
  <si>
    <t>Material Bar + grade + bancos + cadeira praia + puff + carreteis o outra mesa</t>
  </si>
  <si>
    <t>Banheiros Alexban</t>
  </si>
  <si>
    <t xml:space="preserve">  TOTAL — MATERIAL</t>
  </si>
  <si>
    <t xml:space="preserve">  🎛  DIVULGAÇÃO</t>
  </si>
  <si>
    <t>Rp joao portela</t>
  </si>
  <si>
    <t xml:space="preserve">Rp role bons </t>
  </si>
  <si>
    <t xml:space="preserve">Rp about </t>
  </si>
  <si>
    <t>Meta Ads</t>
  </si>
  <si>
    <t>Bonificação Produtores</t>
  </si>
  <si>
    <t xml:space="preserve">  TOTAL — DIVULGAÇÃO</t>
  </si>
  <si>
    <t xml:space="preserve">  🍺  CUSTO BEBIDAS</t>
  </si>
  <si>
    <t>Vodka Smirnoff</t>
  </si>
  <si>
    <t>Em negociaçao</t>
  </si>
  <si>
    <t>Gin Beefeater</t>
  </si>
  <si>
    <t>Uísque Ballantines finest 1l</t>
  </si>
  <si>
    <t>Cachaça Prata 5L Danete</t>
  </si>
  <si>
    <t>Cachaça Mel 5L Danete</t>
  </si>
  <si>
    <t>Cerveja Heineken Long Neck Caixa c/24</t>
  </si>
  <si>
    <t>Água Sem Gás</t>
  </si>
  <si>
    <t>Água Com Gás</t>
  </si>
  <si>
    <t>Refrigerante</t>
  </si>
  <si>
    <t>Baermatte Lata</t>
  </si>
  <si>
    <t xml:space="preserve">  TOTAL — BEBIDAS</t>
  </si>
  <si>
    <t xml:space="preserve">  🚚  LOGÍSTICA</t>
  </si>
  <si>
    <t>Venue</t>
  </si>
  <si>
    <t>Alimentaçao staff</t>
  </si>
  <si>
    <t xml:space="preserve">  TOTAL — LOGÍSTICA</t>
  </si>
  <si>
    <t xml:space="preserve">  TOTAL GERAL DE CUSTOS</t>
  </si>
  <si>
    <t>HIPÓTESES VENDA</t>
  </si>
  <si>
    <t>Ingresso</t>
  </si>
  <si>
    <t>Valor</t>
  </si>
  <si>
    <t>Unidades</t>
  </si>
  <si>
    <t>Total</t>
  </si>
  <si>
    <t>90% Total</t>
  </si>
  <si>
    <t>ESTIMATIVA BILHETERIA</t>
  </si>
  <si>
    <t>LUCRO</t>
  </si>
  <si>
    <t>Pre-venda</t>
  </si>
  <si>
    <t>Total Unidades</t>
  </si>
  <si>
    <t>Faturamento Total</t>
  </si>
  <si>
    <t>Highlander 1o</t>
  </si>
  <si>
    <t>Custo Evento</t>
  </si>
  <si>
    <t xml:space="preserve"> </t>
  </si>
  <si>
    <t>Highlander 2o</t>
  </si>
  <si>
    <t>Total 90%</t>
  </si>
  <si>
    <t>Lucro</t>
  </si>
  <si>
    <t>Highlander 3o</t>
  </si>
  <si>
    <t>Highlander 4o</t>
  </si>
  <si>
    <t>1o Lote</t>
  </si>
  <si>
    <t>CONSUMO BAR</t>
  </si>
  <si>
    <t>2o Lote</t>
  </si>
  <si>
    <t>No VIPs</t>
  </si>
  <si>
    <t>3o Lote</t>
  </si>
  <si>
    <t>Publico Total</t>
  </si>
  <si>
    <t>4o Lote</t>
  </si>
  <si>
    <t>Ticket Medio</t>
  </si>
  <si>
    <t>VIPs</t>
  </si>
  <si>
    <t>Porta Ticketeira</t>
  </si>
  <si>
    <t>Faturamento Bar</t>
  </si>
  <si>
    <t>Promoters</t>
  </si>
  <si>
    <t>Promocional 1</t>
  </si>
  <si>
    <t>Promocional 2</t>
  </si>
  <si>
    <t>Aniversarios</t>
  </si>
  <si>
    <t>Porta</t>
  </si>
  <si>
    <t>Gigios</t>
  </si>
  <si>
    <t>Marcos</t>
  </si>
  <si>
    <t>Totais</t>
  </si>
  <si>
    <t>DJ 1</t>
  </si>
  <si>
    <t>DJ 2</t>
  </si>
  <si>
    <t>CÁLCULO TICKET MÉDIO</t>
  </si>
  <si>
    <t>DJ 3</t>
  </si>
  <si>
    <t>Ticket Médio</t>
  </si>
  <si>
    <t>Vivi</t>
  </si>
  <si>
    <t>Ticket Médio 90%</t>
  </si>
  <si>
    <t>Lista T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</si>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</sst>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[$R$]#,##0.00"/>
    <numFmt numFmtId="165" formatCode="_-&quot;R$&quot;\ * #,##0.00_-;\-&quot;R$&quot;\ * #,##0.00_-;_-&quot;R$&quot;\ * &quot;-&quot;??_-;_-@"/>
    <numFmt numFmtId="166" formatCode="[$R$ -416]#,##0.00"/>
  </numFmts>
  <fonts count="20">
    <font>
      <sz val="11.0"/>
      <color theme="1"/>
      <name val="Aptos Narrow"/>
      <scheme val="minor"/>
    </font>
    <font>
      <sz val="11.0"/>
      <color theme="1"/>
      <name val="Calibri"/>
    </font>
    <font>
      <b/>
      <sz val="15.0"/>
      <color rgb="FF1A1A1A"/>
      <name val="Arial"/>
    </font>
    <font>
      <i/>
      <sz val="10.0"/>
      <color rgb="FF2C2C2C"/>
      <name val="Arial"/>
    </font>
    <font>
      <color theme="1"/>
      <name val="Calibri"/>
    </font>
    <font>
      <b/>
      <sz val="16.0"/>
      <color rgb="FF8B1A4A"/>
      <name val="Arial"/>
    </font>
    <font/>
    <font>
      <b/>
      <sz val="8.0"/>
      <color rgb="FFFFFFFF"/>
      <name val="Arial"/>
    </font>
    <font>
      <sz val="9.0"/>
      <color rgb="FF1A1A1A"/>
      <name val="Arial"/>
    </font>
    <font>
      <b/>
      <sz val="10.0"/>
      <color rgb="FFC9A84C"/>
      <name val="Arial"/>
    </font>
    <font>
      <sz val="9.0"/>
      <color theme="1"/>
      <name val="Arial"/>
    </font>
    <font>
      <b/>
      <sz val="9.0"/>
      <color theme="1"/>
      <name val="Arial"/>
    </font>
    <font>
      <b/>
      <sz val="14.0"/>
      <color rgb="FFC9A84C"/>
      <name val="Arial"/>
    </font>
    <font>
      <sz val="12.0"/>
      <color theme="1"/>
      <name val="Times New Roman"/>
    </font>
    <font>
      <b/>
      <sz val="12.0"/>
      <color theme="0"/>
      <name val="Times New Roman"/>
    </font>
    <font>
      <b/>
      <sz val="12.0"/>
      <color rgb="FFFFFFFF"/>
      <name val="Times New Roman"/>
    </font>
    <font>
      <b/>
      <sz val="12.0"/>
      <color theme="1"/>
      <name val="Times New Roman"/>
    </font>
    <font>
      <color theme="1"/>
      <name val="Aptos Narrow"/>
    </font>
    <font>
      <b/>
      <sz val="12.0"/>
      <color rgb="FF000000"/>
      <name val="Times New Roman"/>
    </font>
    <font>
      <b/>
      <color rgb="FFFFFFFF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E8DFC8"/>
        <bgColor rgb="FFE8DFC8"/>
      </patternFill>
    </fill>
    <fill>
      <patternFill patternType="solid">
        <fgColor rgb="FF2C2C2C"/>
        <bgColor rgb="FF2C2C2C"/>
      </patternFill>
    </fill>
    <fill>
      <patternFill patternType="solid">
        <fgColor rgb="FFFFFFFF"/>
        <bgColor rgb="FFFFFFFF"/>
      </patternFill>
    </fill>
    <fill>
      <patternFill patternType="solid">
        <fgColor rgb="FF1A1A1A"/>
        <bgColor rgb="FF1A1A1A"/>
      </patternFill>
    </fill>
    <fill>
      <patternFill patternType="solid">
        <fgColor rgb="FFBF4F14"/>
        <bgColor rgb="FFBF4F14"/>
      </patternFill>
    </fill>
    <fill>
      <patternFill patternType="solid">
        <fgColor rgb="FF0F4861"/>
        <bgColor rgb="FF0F4861"/>
      </patternFill>
    </fill>
    <fill>
      <patternFill patternType="solid">
        <fgColor theme="0"/>
        <bgColor theme="0"/>
      </patternFill>
    </fill>
    <fill>
      <patternFill patternType="solid">
        <fgColor rgb="FFCCCCCC"/>
        <bgColor rgb="FFCCCCCC"/>
      </patternFill>
    </fill>
  </fills>
  <borders count="12">
    <border/>
    <border>
      <left/>
      <top/>
      <bottom/>
    </border>
    <border>
      <top/>
      <bottom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</border>
    <border>
      <left style="thin">
        <color rgb="FFBBBBBB"/>
      </left>
      <right style="thin">
        <color rgb="FFBBBBBB"/>
      </right>
      <top style="thin">
        <color rgb="FFBBBBBB"/>
      </top>
    </border>
    <border>
      <left/>
      <right/>
      <bottom/>
    </border>
    <border>
      <left/>
      <right/>
      <top/>
      <bottom/>
    </border>
    <border>
      <left style="thin">
        <color rgb="FFBBBBBB"/>
      </left>
      <top style="thin">
        <color rgb="FFBBBBBB"/>
      </top>
      <bottom style="thin">
        <color rgb="FFBBBBBB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 vertical="bottom"/>
    </xf>
    <xf borderId="0" fillId="0" fontId="3" numFmtId="0" xfId="0" applyAlignment="1" applyFont="1">
      <alignment readingOrder="0" vertical="bottom"/>
    </xf>
    <xf borderId="0" fillId="0" fontId="4" numFmtId="0" xfId="0" applyFont="1"/>
    <xf borderId="1" fillId="2" fontId="5" numFmtId="0" xfId="0" applyAlignment="1" applyBorder="1" applyFill="1" applyFont="1">
      <alignment horizontal="left" shrinkToFit="0" vertical="center" wrapText="1"/>
    </xf>
    <xf borderId="2" fillId="0" fontId="6" numFmtId="0" xfId="0" applyBorder="1" applyFont="1"/>
    <xf borderId="3" fillId="3" fontId="7" numFmtId="0" xfId="0" applyAlignment="1" applyBorder="1" applyFill="1" applyFont="1">
      <alignment horizontal="center" shrinkToFit="0" vertical="center" wrapText="1"/>
    </xf>
    <xf borderId="3" fillId="3" fontId="7" numFmtId="0" xfId="0" applyAlignment="1" applyBorder="1" applyFill="1" applyFont="1">
      <alignment horizontal="center" vertical="center"/>
    </xf>
    <xf borderId="3" fillId="4" fontId="8" numFmtId="0" xfId="0" applyAlignment="1" applyBorder="1" applyFill="1" applyFont="1">
      <alignment horizontal="center" shrinkToFit="0" vertical="center" wrapText="1"/>
    </xf>
    <xf borderId="3" fillId="4" fontId="8" numFmtId="0" xfId="0" applyAlignment="1" applyBorder="1" applyFill="1" applyFont="1">
      <alignment horizontal="left" readingOrder="0" shrinkToFit="0" vertical="center" wrapText="1"/>
    </xf>
    <xf borderId="3" fillId="4" fontId="8" numFmtId="0" xfId="0" applyAlignment="1" applyBorder="1" applyFill="1" applyFont="1">
      <alignment horizontal="left" shrinkToFit="0" vertical="center" wrapText="1"/>
    </xf>
    <xf borderId="3" fillId="4" fontId="8" numFmtId="164" xfId="0" applyAlignment="1" applyBorder="1" applyFill="1" applyFont="1" applyNumberFormat="1">
      <alignment horizontal="center" shrinkToFit="0" vertical="center" wrapText="1"/>
    </xf>
    <xf borderId="3" fillId="0" fontId="8" numFmtId="0" xfId="0" applyAlignment="1" applyBorder="1" applyFont="1">
      <alignment horizontal="center" shrinkToFit="0" vertical="center" wrapText="1"/>
    </xf>
    <xf borderId="4" fillId="0" fontId="8" numFmtId="0" xfId="0" applyAlignment="1" applyBorder="1" applyFont="1">
      <alignment horizontal="left" shrinkToFit="0" vertical="center" wrapText="1"/>
    </xf>
    <xf borderId="3" fillId="0" fontId="8" numFmtId="0" xfId="0" applyAlignment="1" applyBorder="1" applyFont="1">
      <alignment horizontal="left" shrinkToFit="0" vertical="center" wrapText="1"/>
    </xf>
    <xf borderId="3" fillId="0" fontId="8" numFmtId="0" xfId="0" applyAlignment="1" applyBorder="1" applyFont="1">
      <alignment horizontal="left" vertical="center"/>
    </xf>
    <xf borderId="3" fillId="4" fontId="8" numFmtId="164" xfId="0" applyAlignment="1" applyBorder="1" applyFill="1" applyFont="1" applyNumberFormat="1">
      <alignment horizontal="center" readingOrder="0" shrinkToFit="0" vertical="center" wrapText="1"/>
    </xf>
    <xf borderId="1" fillId="5" fontId="9" numFmtId="0" xfId="0" applyAlignment="1" applyBorder="1" applyFill="1" applyFont="1">
      <alignment horizontal="left" shrinkToFit="0" vertical="center" wrapText="1"/>
    </xf>
    <xf borderId="5" fillId="5" fontId="9" numFmtId="164" xfId="0" applyAlignment="1" applyBorder="1" applyFill="1" applyFont="1" applyNumberFormat="1">
      <alignment horizontal="right" vertical="center"/>
    </xf>
    <xf borderId="6" fillId="5" fontId="1" numFmtId="0" xfId="0" applyAlignment="1" applyBorder="1" applyFill="1" applyFont="1">
      <alignment vertical="bottom"/>
    </xf>
    <xf borderId="5" fillId="5" fontId="1" numFmtId="0" xfId="0" applyAlignment="1" applyBorder="1" applyFill="1" applyFont="1">
      <alignment vertical="bottom"/>
    </xf>
    <xf borderId="4" fillId="3" fontId="7" numFmtId="0" xfId="0" applyAlignment="1" applyBorder="1" applyFill="1" applyFont="1">
      <alignment horizontal="center" shrinkToFit="0" vertical="center" wrapText="1"/>
    </xf>
    <xf borderId="4" fillId="3" fontId="7" numFmtId="0" xfId="0" applyAlignment="1" applyBorder="1" applyFill="1" applyFont="1">
      <alignment horizontal="center" vertical="center"/>
    </xf>
    <xf borderId="7" fillId="0" fontId="8" numFmtId="0" xfId="0" applyAlignment="1" applyBorder="1" applyFont="1">
      <alignment horizontal="left" shrinkToFit="0" vertical="center" wrapText="1"/>
    </xf>
    <xf borderId="4" fillId="0" fontId="8" numFmtId="0" xfId="0" applyAlignment="1" applyBorder="1" applyFont="1">
      <alignment horizontal="left" vertical="center"/>
    </xf>
    <xf borderId="3" fillId="4" fontId="8" numFmtId="0" xfId="0" applyAlignment="1" applyBorder="1" applyFill="1" applyFont="1">
      <alignment horizontal="center" readingOrder="0" shrinkToFit="0" vertical="center" wrapText="1"/>
    </xf>
    <xf borderId="4" fillId="4" fontId="8" numFmtId="0" xfId="0" applyAlignment="1" applyBorder="1" applyFill="1" applyFont="1">
      <alignment horizontal="left" shrinkToFit="0" vertical="center" wrapText="1"/>
    </xf>
    <xf borderId="3" fillId="4" fontId="8" numFmtId="0" xfId="0" applyAlignment="1" applyBorder="1" applyFill="1" applyFont="1">
      <alignment shrinkToFit="0" wrapText="1"/>
    </xf>
    <xf borderId="3" fillId="4" fontId="8" numFmtId="0" xfId="0" applyAlignment="1" applyBorder="1" applyFill="1" applyFont="1">
      <alignment horizontal="center" shrinkToFit="0" wrapText="1"/>
    </xf>
    <xf borderId="3" fillId="4" fontId="8" numFmtId="164" xfId="0" applyAlignment="1" applyBorder="1" applyFill="1" applyFont="1" applyNumberFormat="1">
      <alignment horizontal="center" readingOrder="0" shrinkToFit="0" wrapText="1"/>
    </xf>
    <xf borderId="6" fillId="5" fontId="9" numFmtId="164" xfId="0" applyAlignment="1" applyBorder="1" applyFill="1" applyFont="1" applyNumberFormat="1">
      <alignment horizontal="right" vertical="center"/>
    </xf>
    <xf borderId="3" fillId="0" fontId="8" numFmtId="164" xfId="0" applyAlignment="1" applyBorder="1" applyFont="1" applyNumberFormat="1">
      <alignment horizontal="center" shrinkToFit="0" vertical="center" wrapText="1"/>
    </xf>
    <xf borderId="3" fillId="0" fontId="8" numFmtId="0" xfId="0" applyAlignment="1" applyBorder="1" applyFont="1">
      <alignment horizontal="center" readingOrder="0" shrinkToFit="0" vertical="center" wrapText="1"/>
    </xf>
    <xf borderId="3" fillId="4" fontId="8" numFmtId="164" xfId="0" applyAlignment="1" applyBorder="1" applyFill="1" applyFont="1" applyNumberFormat="1">
      <alignment horizontal="center" shrinkToFit="0" wrapText="1"/>
    </xf>
    <xf borderId="0" fillId="0" fontId="8" numFmtId="0" xfId="0" applyAlignment="1" applyFont="1">
      <alignment horizontal="center" shrinkToFit="0" vertical="center" wrapText="1"/>
    </xf>
    <xf borderId="0" fillId="0" fontId="8" numFmtId="0" xfId="0" applyAlignment="1" applyFont="1">
      <alignment horizontal="left" shrinkToFit="0" vertical="center" wrapText="1"/>
    </xf>
    <xf borderId="3" fillId="0" fontId="8" numFmtId="0" xfId="0" applyAlignment="1" applyBorder="1" applyFont="1">
      <alignment shrinkToFit="0" wrapText="1"/>
    </xf>
    <xf borderId="3" fillId="0" fontId="8" numFmtId="0" xfId="0" applyAlignment="1" applyBorder="1" applyFont="1">
      <alignment horizontal="center" shrinkToFit="0" wrapText="1"/>
    </xf>
    <xf borderId="3" fillId="0" fontId="8" numFmtId="164" xfId="0" applyAlignment="1" applyBorder="1" applyFont="1" applyNumberFormat="1">
      <alignment horizontal="center" shrinkToFit="0" wrapText="1"/>
    </xf>
    <xf borderId="3" fillId="0" fontId="10" numFmtId="0" xfId="0" applyAlignment="1" applyBorder="1" applyFont="1">
      <alignment horizontal="left" vertical="center"/>
    </xf>
    <xf borderId="3" fillId="0" fontId="11" numFmtId="0" xfId="0" applyAlignment="1" applyBorder="1" applyFont="1">
      <alignment horizontal="center" shrinkToFit="0" wrapText="1"/>
    </xf>
    <xf borderId="3" fillId="0" fontId="10" numFmtId="0" xfId="0" applyAlignment="1" applyBorder="1" applyFont="1">
      <alignment shrinkToFit="0" wrapText="1"/>
    </xf>
    <xf borderId="0" fillId="0" fontId="8" numFmtId="164" xfId="0" applyAlignment="1" applyFont="1" applyNumberFormat="1">
      <alignment horizontal="center" shrinkToFit="0" vertical="center" wrapText="1"/>
    </xf>
    <xf borderId="0" fillId="0" fontId="8" numFmtId="0" xfId="0" applyAlignment="1" applyFont="1">
      <alignment horizontal="left" vertical="center"/>
    </xf>
    <xf borderId="1" fillId="5" fontId="12" numFmtId="0" xfId="0" applyAlignment="1" applyBorder="1" applyFill="1" applyFont="1">
      <alignment horizontal="left" shrinkToFit="0" vertical="center" wrapText="1"/>
    </xf>
    <xf borderId="6" fillId="5" fontId="12" numFmtId="164" xfId="0" applyAlignment="1" applyBorder="1" applyFill="1" applyFont="1" applyNumberFormat="1">
      <alignment horizontal="right" vertical="center"/>
    </xf>
    <xf borderId="0" fillId="0" fontId="13" numFmtId="0" xfId="0" applyFont="1"/>
    <xf borderId="8" fillId="6" fontId="14" numFmtId="0" xfId="0" applyAlignment="1" applyBorder="1" applyFill="1" applyFont="1">
      <alignment horizontal="center"/>
    </xf>
    <xf borderId="9" fillId="0" fontId="6" numFmtId="0" xfId="0" applyBorder="1" applyFont="1"/>
    <xf borderId="10" fillId="0" fontId="6" numFmtId="0" xfId="0" applyBorder="1" applyFont="1"/>
    <xf borderId="11" fillId="7" fontId="14" numFmtId="0" xfId="0" applyAlignment="1" applyBorder="1" applyFill="1" applyFont="1">
      <alignment horizontal="center" vertical="center"/>
    </xf>
    <xf borderId="8" fillId="7" fontId="15" numFmtId="0" xfId="0" applyAlignment="1" applyBorder="1" applyFill="1" applyFont="1">
      <alignment horizontal="center"/>
    </xf>
    <xf borderId="8" fillId="7" fontId="14" numFmtId="0" xfId="0" applyAlignment="1" applyBorder="1" applyFill="1" applyFont="1">
      <alignment horizontal="center"/>
    </xf>
    <xf borderId="11" fillId="0" fontId="16" numFmtId="0" xfId="0" applyAlignment="1" applyBorder="1" applyFont="1">
      <alignment horizontal="left" vertical="center"/>
    </xf>
    <xf borderId="11" fillId="0" fontId="13" numFmtId="165" xfId="0" applyAlignment="1" applyBorder="1" applyFont="1" applyNumberFormat="1">
      <alignment horizontal="center" vertical="center"/>
    </xf>
    <xf borderId="11" fillId="4" fontId="13" numFmtId="0" xfId="0" applyAlignment="1" applyBorder="1" applyFill="1" applyFont="1">
      <alignment horizontal="center" readingOrder="0" vertical="center"/>
    </xf>
    <xf borderId="11" fillId="0" fontId="13" numFmtId="0" xfId="0" applyBorder="1" applyFont="1"/>
    <xf borderId="11" fillId="0" fontId="13" numFmtId="165" xfId="0" applyBorder="1" applyFont="1" applyNumberFormat="1"/>
    <xf borderId="11" fillId="0" fontId="13" numFmtId="165" xfId="0" applyAlignment="1" applyBorder="1" applyFont="1" applyNumberFormat="1">
      <alignment readingOrder="0"/>
    </xf>
    <xf borderId="0" fillId="0" fontId="17" numFmtId="0" xfId="0" applyFont="1"/>
    <xf borderId="11" fillId="0" fontId="13" numFmtId="165" xfId="0" applyAlignment="1" applyBorder="1" applyFont="1" applyNumberFormat="1">
      <alignment horizontal="center" readingOrder="0" vertical="center"/>
    </xf>
    <xf borderId="11" fillId="8" fontId="13" numFmtId="165" xfId="0" applyAlignment="1" applyBorder="1" applyFill="1" applyFont="1" applyNumberFormat="1">
      <alignment horizontal="center" vertical="center"/>
    </xf>
    <xf borderId="11" fillId="8" fontId="13" numFmtId="0" xfId="0" applyBorder="1" applyFill="1" applyFont="1"/>
    <xf borderId="11" fillId="8" fontId="13" numFmtId="0" xfId="0" applyAlignment="1" applyBorder="1" applyFill="1" applyFont="1">
      <alignment readingOrder="0"/>
    </xf>
    <xf borderId="11" fillId="8" fontId="16" numFmtId="0" xfId="0" applyAlignment="1" applyBorder="1" applyFill="1" applyFont="1">
      <alignment horizontal="left" vertical="center"/>
    </xf>
    <xf borderId="11" fillId="8" fontId="13" numFmtId="165" xfId="0" applyBorder="1" applyFill="1" applyFont="1" applyNumberFormat="1"/>
    <xf borderId="11" fillId="8" fontId="16" numFmtId="0" xfId="0" applyAlignment="1" applyBorder="1" applyFill="1" applyFont="1">
      <alignment horizontal="left" readingOrder="0" vertical="center"/>
    </xf>
    <xf borderId="11" fillId="8" fontId="13" numFmtId="165" xfId="0" applyAlignment="1" applyBorder="1" applyFill="1" applyFont="1" applyNumberFormat="1">
      <alignment horizontal="center" readingOrder="0" vertical="center"/>
    </xf>
    <xf borderId="8" fillId="9" fontId="13" numFmtId="0" xfId="0" applyBorder="1" applyFill="1" applyFont="1"/>
    <xf borderId="8" fillId="4" fontId="18" numFmtId="0" xfId="0" applyBorder="1" applyFill="1" applyFont="1"/>
    <xf borderId="11" fillId="4" fontId="18" numFmtId="0" xfId="0" applyBorder="1" applyFill="1" applyFont="1"/>
    <xf borderId="11" fillId="0" fontId="13" numFmtId="166" xfId="0" applyBorder="1" applyFont="1" applyNumberFormat="1"/>
    <xf borderId="0" fillId="0" fontId="13" numFmtId="165" xfId="0" applyFont="1" applyNumberFormat="1"/>
    <xf borderId="8" fillId="7" fontId="19" numFmtId="0" xfId="0" applyAlignment="1" applyBorder="1" applyFill="1" applyFont="1">
      <alignment horizontal="center" vertical="center"/>
    </xf>
    <xf borderId="11" fillId="0" fontId="17" numFmtId="0" xfId="0" applyBorder="1" applyFont="1"/>
  </cellXfs>
  <cellStyles count="1">
    <cellStyle xfId="0" name="Normal" builtinId="0"/>
  </cellStyles>
  <dxfs count="6">
    <dxf>
      <font>
        <b/>
        <sz val="9.0"/>
        <color rgb="FFC9A84C"/>
        <name val="Arial"/>
      </font>
      <fill>
        <patternFill patternType="solid">
          <fgColor rgb="FFF3E9C9"/>
          <bgColor rgb="FFF3E9C9"/>
        </patternFill>
      </fill>
      <border/>
    </dxf>
    <dxf>
      <font>
        <b/>
        <sz val="9.0"/>
        <color rgb="FF1F4F8B"/>
        <name val="Arial"/>
      </font>
      <fill>
        <patternFill patternType="solid">
          <fgColor rgb="FFD5E0EC"/>
          <bgColor rgb="FFD5E0EC"/>
        </patternFill>
      </fill>
      <border/>
    </dxf>
    <dxf>
      <font>
        <b/>
        <sz val="9.0"/>
        <color rgb="FF1F6F8B"/>
        <name val="Arial"/>
      </font>
      <fill>
        <patternFill patternType="solid">
          <fgColor rgb="FFD3E5EC"/>
          <bgColor rgb="FFD3E5EC"/>
        </patternFill>
      </fill>
      <border/>
    </dxf>
    <dxf>
      <font>
        <b/>
        <sz val="9.0"/>
        <color rgb="FFD97706"/>
        <name val="Arial"/>
      </font>
      <fill>
        <patternFill patternType="solid">
          <fgColor rgb="FFFBE5C2"/>
          <bgColor rgb="FFFBE5C2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4.38"/>
    <col customWidth="1" min="2" max="2" width="36.13"/>
    <col customWidth="1" min="3" max="3" width="19.25"/>
    <col customWidth="1" min="4" max="4" width="7.0"/>
    <col customWidth="1" min="5" max="5" width="11.38"/>
    <col customWidth="1" min="6" max="6" width="14.5"/>
    <col customWidth="1" min="7" max="7" width="25.38"/>
    <col customWidth="1" min="8" max="8" width="13.88"/>
    <col customWidth="1" min="9" max="9" width="19.25"/>
    <col customWidth="1" min="10" max="10" width="24.5"/>
    <col customWidth="1" min="11" max="11" width="19.25"/>
    <col customWidth="1" min="12" max="27" width="7.63"/>
  </cols>
  <sheetData>
    <row r="1" ht="24.0" customHeight="1">
      <c r="A1" s="1"/>
      <c r="B1" s="2" t="s">
        <v>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ht="18.0" customHeight="1">
      <c r="A2" s="1"/>
      <c r="B2" s="3" t="s">
        <v>1</v>
      </c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>
      <c r="A3" s="1"/>
      <c r="B3" s="1"/>
      <c r="C3" s="1"/>
      <c r="D3" s="1"/>
      <c r="E3" s="1"/>
      <c r="F3" s="1"/>
      <c r="G3" s="1"/>
      <c r="H3" s="1"/>
      <c r="I3" s="1"/>
      <c r="J3" s="4"/>
      <c r="K3" s="4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ht="25.5" customHeight="1">
      <c r="A4" s="5" t="s">
        <v>2</v>
      </c>
      <c r="B4" s="6"/>
      <c r="C4" s="6"/>
      <c r="D4" s="6"/>
      <c r="E4" s="6"/>
      <c r="F4" s="6"/>
      <c r="G4" s="6"/>
      <c r="H4" s="6"/>
      <c r="I4" s="6"/>
      <c r="J4" s="6"/>
      <c r="K4" s="6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ht="21.75" customHeight="1">
      <c r="A5" s="7" t="s">
        <v>3</v>
      </c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7" t="s">
        <v>9</v>
      </c>
      <c r="H5" s="7" t="s">
        <v>10</v>
      </c>
      <c r="I5" s="7" t="s">
        <v>11</v>
      </c>
      <c r="J5" s="8" t="s">
        <v>12</v>
      </c>
      <c r="K5" s="8" t="s">
        <v>13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>
      <c r="A6" s="9">
        <v>1.0</v>
      </c>
      <c r="B6" s="10" t="s">
        <v>14</v>
      </c>
      <c r="C6" s="11"/>
      <c r="D6" s="9">
        <v>1.0</v>
      </c>
      <c r="E6" s="12">
        <v>5000.0</v>
      </c>
      <c r="F6" s="12">
        <f t="shared" ref="F6:F10" si="1">D6*E6</f>
        <v>5000</v>
      </c>
      <c r="G6" s="13"/>
      <c r="H6" s="14" t="s">
        <v>15</v>
      </c>
      <c r="I6" s="15"/>
      <c r="J6" s="16"/>
      <c r="K6" s="16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>
      <c r="A7" s="9">
        <v>2.0</v>
      </c>
      <c r="B7" s="10" t="s">
        <v>16</v>
      </c>
      <c r="C7" s="11"/>
      <c r="D7" s="9">
        <v>1.0</v>
      </c>
      <c r="E7" s="17">
        <v>2500.0</v>
      </c>
      <c r="F7" s="12">
        <f t="shared" si="1"/>
        <v>2500</v>
      </c>
      <c r="G7" s="13"/>
      <c r="H7" s="14" t="s">
        <v>15</v>
      </c>
      <c r="I7" s="15"/>
      <c r="J7" s="16"/>
      <c r="K7" s="16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>
      <c r="A8" s="9">
        <v>3.0</v>
      </c>
      <c r="B8" s="10" t="s">
        <v>17</v>
      </c>
      <c r="C8" s="11"/>
      <c r="D8" s="9">
        <v>1.0</v>
      </c>
      <c r="E8" s="17">
        <v>800.0</v>
      </c>
      <c r="F8" s="12">
        <f t="shared" si="1"/>
        <v>800</v>
      </c>
      <c r="G8" s="13"/>
      <c r="H8" s="14"/>
      <c r="I8" s="16"/>
      <c r="J8" s="16"/>
      <c r="K8" s="16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>
      <c r="A9" s="9">
        <v>4.0</v>
      </c>
      <c r="B9" s="10" t="s">
        <v>18</v>
      </c>
      <c r="C9" s="11"/>
      <c r="D9" s="9">
        <v>1.0</v>
      </c>
      <c r="E9" s="12">
        <v>1000.0</v>
      </c>
      <c r="F9" s="12">
        <f t="shared" si="1"/>
        <v>1000</v>
      </c>
      <c r="G9" s="13"/>
      <c r="H9" s="14" t="s">
        <v>15</v>
      </c>
      <c r="I9" s="16"/>
      <c r="J9" s="16"/>
      <c r="K9" s="16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>
      <c r="A10" s="9">
        <v>5.0</v>
      </c>
      <c r="B10" s="11" t="s">
        <v>19</v>
      </c>
      <c r="C10" s="11"/>
      <c r="D10" s="9">
        <v>1.0</v>
      </c>
      <c r="E10" s="12">
        <v>1000.0</v>
      </c>
      <c r="F10" s="12">
        <f t="shared" si="1"/>
        <v>1000</v>
      </c>
      <c r="G10" s="13"/>
      <c r="H10" s="14"/>
      <c r="I10" s="16"/>
      <c r="J10" s="16"/>
      <c r="K10" s="16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ht="21.75" customHeight="1">
      <c r="A11" s="18" t="s">
        <v>20</v>
      </c>
      <c r="B11" s="6"/>
      <c r="C11" s="6"/>
      <c r="D11" s="6"/>
      <c r="E11" s="6"/>
      <c r="F11" s="19">
        <f>SUM(F6:F9)</f>
        <v>9300</v>
      </c>
      <c r="G11" s="20"/>
      <c r="H11" s="21"/>
      <c r="I11" s="20"/>
      <c r="J11" s="21"/>
      <c r="K11" s="20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>
      <c r="A12" s="1"/>
      <c r="B12" s="1"/>
      <c r="C12" s="1"/>
      <c r="D12" s="1"/>
      <c r="E12" s="1"/>
      <c r="F12" s="1"/>
      <c r="G12" s="1"/>
      <c r="H12" s="4"/>
      <c r="I12" s="4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ht="25.5" customHeight="1">
      <c r="A13" s="5" t="s">
        <v>21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ht="21.75" customHeight="1">
      <c r="A14" s="7" t="s">
        <v>3</v>
      </c>
      <c r="B14" s="7" t="s">
        <v>4</v>
      </c>
      <c r="C14" s="7" t="s">
        <v>5</v>
      </c>
      <c r="D14" s="7" t="s">
        <v>6</v>
      </c>
      <c r="E14" s="7" t="s">
        <v>7</v>
      </c>
      <c r="F14" s="7" t="s">
        <v>8</v>
      </c>
      <c r="G14" s="7" t="s">
        <v>9</v>
      </c>
      <c r="H14" s="7" t="s">
        <v>22</v>
      </c>
      <c r="I14" s="22" t="s">
        <v>11</v>
      </c>
      <c r="J14" s="23" t="s">
        <v>12</v>
      </c>
      <c r="K14" s="23" t="s">
        <v>13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ht="15.75" customHeight="1">
      <c r="A15" s="13">
        <v>1.0</v>
      </c>
      <c r="B15" s="11" t="s">
        <v>23</v>
      </c>
      <c r="C15" s="11" t="s">
        <v>24</v>
      </c>
      <c r="D15" s="9">
        <v>1.0</v>
      </c>
      <c r="E15" s="12">
        <v>2000.0</v>
      </c>
      <c r="F15" s="12">
        <f t="shared" ref="F15:F30" si="2">D15*E15</f>
        <v>2000</v>
      </c>
      <c r="G15" s="13"/>
      <c r="H15" s="24" t="s">
        <v>25</v>
      </c>
      <c r="I15" s="25"/>
      <c r="J15" s="25"/>
      <c r="K15" s="25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ht="15.75" customHeight="1">
      <c r="A16" s="13">
        <v>2.0</v>
      </c>
      <c r="B16" s="11" t="s">
        <v>26</v>
      </c>
      <c r="C16" s="11" t="s">
        <v>27</v>
      </c>
      <c r="D16" s="9">
        <v>1.0</v>
      </c>
      <c r="E16" s="12">
        <v>600.0</v>
      </c>
      <c r="F16" s="12">
        <f t="shared" si="2"/>
        <v>600</v>
      </c>
      <c r="G16" s="13"/>
      <c r="H16" s="24" t="s">
        <v>25</v>
      </c>
      <c r="I16" s="25"/>
      <c r="J16" s="25"/>
      <c r="K16" s="25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ht="15.75" customHeight="1">
      <c r="A17" s="13">
        <v>3.0</v>
      </c>
      <c r="B17" s="11" t="s">
        <v>28</v>
      </c>
      <c r="C17" s="11" t="s">
        <v>27</v>
      </c>
      <c r="D17" s="9">
        <v>1.0</v>
      </c>
      <c r="E17" s="12">
        <v>500.0</v>
      </c>
      <c r="F17" s="12">
        <f t="shared" si="2"/>
        <v>500</v>
      </c>
      <c r="G17" s="13"/>
      <c r="H17" s="24" t="s">
        <v>25</v>
      </c>
      <c r="I17" s="25"/>
      <c r="J17" s="25"/>
      <c r="K17" s="25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ht="15.75" customHeight="1">
      <c r="A18" s="13">
        <v>4.0</v>
      </c>
      <c r="B18" s="11" t="s">
        <v>28</v>
      </c>
      <c r="C18" s="11" t="s">
        <v>29</v>
      </c>
      <c r="D18" s="9">
        <v>1.0</v>
      </c>
      <c r="E18" s="12">
        <v>550.0</v>
      </c>
      <c r="F18" s="12">
        <f t="shared" si="2"/>
        <v>550</v>
      </c>
      <c r="G18" s="13"/>
      <c r="H18" s="24" t="s">
        <v>25</v>
      </c>
      <c r="I18" s="25"/>
      <c r="J18" s="25"/>
      <c r="K18" s="25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ht="15.75" customHeight="1">
      <c r="A19" s="13">
        <v>5.0</v>
      </c>
      <c r="B19" s="11" t="s">
        <v>30</v>
      </c>
      <c r="C19" s="10" t="s">
        <v>31</v>
      </c>
      <c r="D19" s="26">
        <v>1.0</v>
      </c>
      <c r="E19" s="12">
        <v>300.0</v>
      </c>
      <c r="F19" s="12">
        <f t="shared" si="2"/>
        <v>300</v>
      </c>
      <c r="G19" s="13"/>
      <c r="H19" s="24" t="s">
        <v>25</v>
      </c>
      <c r="I19" s="25"/>
      <c r="J19" s="25"/>
      <c r="K19" s="25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ht="23.25" customHeight="1">
      <c r="A20" s="13">
        <v>6.0</v>
      </c>
      <c r="B20" s="11" t="s">
        <v>32</v>
      </c>
      <c r="C20" s="11" t="s">
        <v>33</v>
      </c>
      <c r="D20" s="26">
        <v>2.0</v>
      </c>
      <c r="E20" s="12">
        <v>250.0</v>
      </c>
      <c r="F20" s="12">
        <f t="shared" si="2"/>
        <v>500</v>
      </c>
      <c r="G20" s="13"/>
      <c r="H20" s="24" t="s">
        <v>25</v>
      </c>
      <c r="I20" s="25"/>
      <c r="J20" s="25"/>
      <c r="K20" s="25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ht="15.75" customHeight="1">
      <c r="A21" s="13">
        <v>7.0</v>
      </c>
      <c r="B21" s="11" t="s">
        <v>34</v>
      </c>
      <c r="C21" s="27" t="s">
        <v>33</v>
      </c>
      <c r="D21" s="9">
        <v>1.0</v>
      </c>
      <c r="E21" s="12">
        <v>600.0</v>
      </c>
      <c r="F21" s="12">
        <f t="shared" si="2"/>
        <v>600</v>
      </c>
      <c r="G21" s="13"/>
      <c r="H21" s="24" t="s">
        <v>25</v>
      </c>
      <c r="I21" s="25"/>
      <c r="J21" s="25"/>
      <c r="K21" s="25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ht="15.75" customHeight="1">
      <c r="A22" s="13">
        <v>8.0</v>
      </c>
      <c r="B22" s="11" t="s">
        <v>35</v>
      </c>
      <c r="C22" s="27" t="s">
        <v>33</v>
      </c>
      <c r="D22" s="26">
        <v>3.0</v>
      </c>
      <c r="E22" s="12">
        <v>250.0</v>
      </c>
      <c r="F22" s="12">
        <f t="shared" si="2"/>
        <v>750</v>
      </c>
      <c r="G22" s="13"/>
      <c r="H22" s="24" t="s">
        <v>25</v>
      </c>
      <c r="I22" s="25"/>
      <c r="J22" s="25"/>
      <c r="K22" s="25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ht="15.75" customHeight="1">
      <c r="A23" s="13">
        <v>9.0</v>
      </c>
      <c r="B23" s="11" t="s">
        <v>36</v>
      </c>
      <c r="C23" s="27" t="s">
        <v>33</v>
      </c>
      <c r="D23" s="9">
        <v>1.0</v>
      </c>
      <c r="E23" s="12">
        <v>250.0</v>
      </c>
      <c r="F23" s="12">
        <f t="shared" si="2"/>
        <v>250</v>
      </c>
      <c r="G23" s="13"/>
      <c r="H23" s="24"/>
      <c r="I23" s="25"/>
      <c r="J23" s="25"/>
      <c r="K23" s="25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ht="15.75" customHeight="1">
      <c r="A24" s="13">
        <v>10.0</v>
      </c>
      <c r="B24" s="11" t="s">
        <v>37</v>
      </c>
      <c r="C24" s="11" t="s">
        <v>38</v>
      </c>
      <c r="D24" s="26">
        <v>4.0</v>
      </c>
      <c r="E24" s="12">
        <v>200.0</v>
      </c>
      <c r="F24" s="12">
        <f t="shared" si="2"/>
        <v>800</v>
      </c>
      <c r="G24" s="13"/>
      <c r="H24" s="24" t="s">
        <v>25</v>
      </c>
      <c r="I24" s="25"/>
      <c r="J24" s="25"/>
      <c r="K24" s="25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ht="15.75" customHeight="1">
      <c r="A25" s="13">
        <v>11.0</v>
      </c>
      <c r="B25" s="11" t="s">
        <v>39</v>
      </c>
      <c r="C25" s="11" t="s">
        <v>40</v>
      </c>
      <c r="D25" s="9">
        <v>1.0</v>
      </c>
      <c r="E25" s="17">
        <v>600.0</v>
      </c>
      <c r="F25" s="12">
        <f t="shared" si="2"/>
        <v>600</v>
      </c>
      <c r="G25" s="13"/>
      <c r="H25" s="24" t="s">
        <v>25</v>
      </c>
      <c r="I25" s="25"/>
      <c r="J25" s="25"/>
      <c r="K25" s="25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ht="15.75" customHeight="1">
      <c r="A26" s="13">
        <v>12.0</v>
      </c>
      <c r="B26" s="11" t="s">
        <v>41</v>
      </c>
      <c r="C26" s="11"/>
      <c r="D26" s="9">
        <v>1.0</v>
      </c>
      <c r="E26" s="17">
        <v>0.0</v>
      </c>
      <c r="F26" s="12">
        <f t="shared" si="2"/>
        <v>0</v>
      </c>
      <c r="G26" s="13"/>
      <c r="H26" s="24"/>
      <c r="I26" s="25"/>
      <c r="J26" s="25"/>
      <c r="K26" s="25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ht="15.75" customHeight="1">
      <c r="A27" s="13">
        <v>13.0</v>
      </c>
      <c r="B27" s="11" t="s">
        <v>42</v>
      </c>
      <c r="C27" s="11"/>
      <c r="D27" s="9">
        <v>1.0</v>
      </c>
      <c r="E27" s="17">
        <v>0.0</v>
      </c>
      <c r="F27" s="12">
        <f t="shared" si="2"/>
        <v>0</v>
      </c>
      <c r="G27" s="13"/>
      <c r="H27" s="24"/>
      <c r="I27" s="25"/>
      <c r="J27" s="25"/>
      <c r="K27" s="25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ht="15.75" customHeight="1">
      <c r="A28" s="13">
        <v>13.0</v>
      </c>
      <c r="B28" s="11" t="s">
        <v>43</v>
      </c>
      <c r="C28" s="28" t="s">
        <v>44</v>
      </c>
      <c r="D28" s="29">
        <v>1.0</v>
      </c>
      <c r="E28" s="30">
        <v>700.0</v>
      </c>
      <c r="F28" s="12">
        <f t="shared" si="2"/>
        <v>700</v>
      </c>
      <c r="G28" s="13"/>
      <c r="H28" s="24" t="s">
        <v>25</v>
      </c>
      <c r="I28" s="25"/>
      <c r="J28" s="25"/>
      <c r="K28" s="25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ht="15.75" customHeight="1">
      <c r="A29" s="13">
        <v>14.0</v>
      </c>
      <c r="B29" s="11" t="s">
        <v>45</v>
      </c>
      <c r="C29" s="28" t="s">
        <v>44</v>
      </c>
      <c r="D29" s="29">
        <v>1.0</v>
      </c>
      <c r="E29" s="30">
        <v>500.0</v>
      </c>
      <c r="F29" s="12">
        <f t="shared" si="2"/>
        <v>500</v>
      </c>
      <c r="G29" s="13"/>
      <c r="H29" s="24" t="s">
        <v>25</v>
      </c>
      <c r="I29" s="25"/>
      <c r="J29" s="25"/>
      <c r="K29" s="25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ht="15.75" customHeight="1">
      <c r="A30" s="13">
        <v>15.0</v>
      </c>
      <c r="B30" s="11" t="s">
        <v>46</v>
      </c>
      <c r="C30" s="11"/>
      <c r="D30" s="9">
        <v>1.0</v>
      </c>
      <c r="E30" s="12">
        <v>200.0</v>
      </c>
      <c r="F30" s="12">
        <f t="shared" si="2"/>
        <v>200</v>
      </c>
      <c r="G30" s="13"/>
      <c r="H30" s="24" t="s">
        <v>25</v>
      </c>
      <c r="I30" s="25"/>
      <c r="J30" s="25"/>
      <c r="K30" s="25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ht="21.75" customHeight="1">
      <c r="A31" s="18" t="s">
        <v>47</v>
      </c>
      <c r="B31" s="6"/>
      <c r="C31" s="6"/>
      <c r="D31" s="6"/>
      <c r="E31" s="6"/>
      <c r="F31" s="31">
        <f>SUM(F15:F30)</f>
        <v>8850</v>
      </c>
      <c r="G31" s="20"/>
      <c r="H31" s="20"/>
      <c r="I31" s="21"/>
      <c r="J31" s="21"/>
      <c r="K31" s="2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ht="15.75" customHeight="1">
      <c r="A32" s="1"/>
      <c r="B32" s="1"/>
      <c r="C32" s="1"/>
      <c r="D32" s="1"/>
      <c r="E32" s="1"/>
      <c r="F32" s="1"/>
      <c r="G32" s="1"/>
      <c r="H32" s="4"/>
      <c r="I32" s="4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ht="25.5" customHeight="1">
      <c r="A33" s="5" t="s">
        <v>48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ht="21.75" customHeight="1">
      <c r="A34" s="7" t="s">
        <v>3</v>
      </c>
      <c r="B34" s="7" t="s">
        <v>4</v>
      </c>
      <c r="C34" s="7" t="s">
        <v>5</v>
      </c>
      <c r="D34" s="7" t="s">
        <v>6</v>
      </c>
      <c r="E34" s="7" t="s">
        <v>7</v>
      </c>
      <c r="F34" s="7" t="s">
        <v>8</v>
      </c>
      <c r="G34" s="7" t="s">
        <v>9</v>
      </c>
      <c r="H34" s="7" t="s">
        <v>49</v>
      </c>
      <c r="I34" s="7" t="s">
        <v>11</v>
      </c>
      <c r="J34" s="8" t="s">
        <v>12</v>
      </c>
      <c r="K34" s="8" t="s">
        <v>13</v>
      </c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ht="15.75" customHeight="1">
      <c r="A35" s="13">
        <v>1.0</v>
      </c>
      <c r="B35" s="15" t="s">
        <v>50</v>
      </c>
      <c r="C35" s="11" t="s">
        <v>33</v>
      </c>
      <c r="D35" s="13">
        <v>1.0</v>
      </c>
      <c r="E35" s="30">
        <v>750.0</v>
      </c>
      <c r="F35" s="32">
        <f t="shared" ref="F35:F38" si="3">D35*E35</f>
        <v>750</v>
      </c>
      <c r="G35" s="13"/>
      <c r="H35" s="15" t="s">
        <v>25</v>
      </c>
      <c r="I35" s="15"/>
      <c r="J35" s="15"/>
      <c r="K35" s="15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ht="15.75" customHeight="1">
      <c r="A36" s="13">
        <v>2.0</v>
      </c>
      <c r="B36" s="15" t="s">
        <v>51</v>
      </c>
      <c r="C36" s="11" t="s">
        <v>33</v>
      </c>
      <c r="D36" s="33">
        <v>50.0</v>
      </c>
      <c r="E36" s="34">
        <v>8.0</v>
      </c>
      <c r="F36" s="32">
        <f t="shared" si="3"/>
        <v>400</v>
      </c>
      <c r="G36" s="13"/>
      <c r="H36" s="15" t="s">
        <v>25</v>
      </c>
      <c r="I36" s="15"/>
      <c r="J36" s="15"/>
      <c r="K36" s="15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ht="15.75" customHeight="1">
      <c r="A37" s="13">
        <v>3.0</v>
      </c>
      <c r="B37" s="15" t="s">
        <v>52</v>
      </c>
      <c r="C37" s="11" t="s">
        <v>33</v>
      </c>
      <c r="D37" s="33">
        <v>30.0</v>
      </c>
      <c r="E37" s="34">
        <v>10.0</v>
      </c>
      <c r="F37" s="32">
        <f t="shared" si="3"/>
        <v>300</v>
      </c>
      <c r="G37" s="13"/>
      <c r="H37" s="15" t="s">
        <v>25</v>
      </c>
      <c r="I37" s="15"/>
      <c r="J37" s="15"/>
      <c r="K37" s="15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ht="15.75" customHeight="1">
      <c r="A38" s="35">
        <v>3.0</v>
      </c>
      <c r="B38" s="36" t="s">
        <v>53</v>
      </c>
      <c r="C38" s="11" t="s">
        <v>54</v>
      </c>
      <c r="D38" s="13">
        <v>1000.0</v>
      </c>
      <c r="E38" s="34">
        <v>3.45</v>
      </c>
      <c r="F38" s="32">
        <f t="shared" si="3"/>
        <v>3450</v>
      </c>
      <c r="G38" s="35"/>
      <c r="H38" s="36" t="s">
        <v>25</v>
      </c>
      <c r="I38" s="15"/>
      <c r="J38" s="15"/>
      <c r="K38" s="15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ht="21.75" customHeight="1">
      <c r="A39" s="18" t="s">
        <v>55</v>
      </c>
      <c r="B39" s="6"/>
      <c r="C39" s="6"/>
      <c r="D39" s="6"/>
      <c r="E39" s="6"/>
      <c r="F39" s="31">
        <f>SUM(F35:F38)</f>
        <v>4900</v>
      </c>
      <c r="G39" s="20"/>
      <c r="H39" s="20"/>
      <c r="I39" s="20"/>
      <c r="J39" s="20"/>
      <c r="K39" s="20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ht="15.75" customHeight="1">
      <c r="A40" s="1"/>
      <c r="B40" s="1"/>
      <c r="C40" s="1"/>
      <c r="D40" s="1"/>
      <c r="E40" s="1"/>
      <c r="F40" s="1"/>
      <c r="G40" s="1"/>
      <c r="H40" s="4"/>
      <c r="I40" s="4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ht="25.5" customHeight="1">
      <c r="A41" s="5" t="s">
        <v>56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ht="21.75" customHeight="1">
      <c r="A42" s="7" t="s">
        <v>3</v>
      </c>
      <c r="B42" s="7" t="s">
        <v>4</v>
      </c>
      <c r="C42" s="7" t="s">
        <v>5</v>
      </c>
      <c r="D42" s="7" t="s">
        <v>6</v>
      </c>
      <c r="E42" s="7" t="s">
        <v>7</v>
      </c>
      <c r="F42" s="7" t="s">
        <v>8</v>
      </c>
      <c r="G42" s="7" t="s">
        <v>9</v>
      </c>
      <c r="H42" s="7" t="s">
        <v>10</v>
      </c>
      <c r="I42" s="7" t="s">
        <v>57</v>
      </c>
      <c r="J42" s="8" t="s">
        <v>12</v>
      </c>
      <c r="K42" s="8" t="s">
        <v>13</v>
      </c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ht="36.0" customHeight="1">
      <c r="A43" s="13">
        <v>1.0</v>
      </c>
      <c r="B43" s="11" t="s">
        <v>58</v>
      </c>
      <c r="C43" s="11"/>
      <c r="D43" s="9">
        <v>1.0</v>
      </c>
      <c r="E43" s="32">
        <v>3500.0</v>
      </c>
      <c r="F43" s="12">
        <f t="shared" ref="F43:F45" si="4">D43*E43</f>
        <v>3500</v>
      </c>
      <c r="G43" s="13"/>
      <c r="H43" s="15" t="s">
        <v>25</v>
      </c>
      <c r="I43" s="15"/>
      <c r="J43" s="16"/>
      <c r="K43" s="16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ht="22.5" customHeight="1">
      <c r="A44" s="13">
        <v>2.0</v>
      </c>
      <c r="B44" s="11" t="s">
        <v>59</v>
      </c>
      <c r="C44" s="11"/>
      <c r="D44" s="9">
        <v>1.0</v>
      </c>
      <c r="E44" s="32">
        <v>3500.0</v>
      </c>
      <c r="F44" s="12">
        <f t="shared" si="4"/>
        <v>3500</v>
      </c>
      <c r="G44" s="13"/>
      <c r="H44" s="15" t="s">
        <v>25</v>
      </c>
      <c r="I44" s="15"/>
      <c r="J44" s="16"/>
      <c r="K44" s="16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ht="15.75" customHeight="1">
      <c r="A45" s="13">
        <v>3.0</v>
      </c>
      <c r="B45" s="11" t="s">
        <v>60</v>
      </c>
      <c r="C45" s="37" t="s">
        <v>61</v>
      </c>
      <c r="D45" s="38">
        <v>1.0</v>
      </c>
      <c r="E45" s="39">
        <v>700.0</v>
      </c>
      <c r="F45" s="12">
        <f t="shared" si="4"/>
        <v>700</v>
      </c>
      <c r="G45" s="13"/>
      <c r="H45" s="15" t="s">
        <v>25</v>
      </c>
      <c r="I45" s="15"/>
      <c r="J45" s="16"/>
      <c r="K45" s="40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ht="21.75" customHeight="1">
      <c r="A46" s="18" t="s">
        <v>62</v>
      </c>
      <c r="B46" s="6"/>
      <c r="C46" s="6"/>
      <c r="D46" s="6"/>
      <c r="E46" s="6"/>
      <c r="F46" s="31">
        <f>SUM(F43:F45)</f>
        <v>7700</v>
      </c>
      <c r="G46" s="20"/>
      <c r="H46" s="20"/>
      <c r="I46" s="20"/>
      <c r="J46" s="20"/>
      <c r="K46" s="20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ht="15.75" customHeight="1">
      <c r="A47" s="1"/>
      <c r="B47" s="1"/>
      <c r="C47" s="1"/>
      <c r="D47" s="1"/>
      <c r="E47" s="1"/>
      <c r="F47" s="1"/>
      <c r="G47" s="1"/>
      <c r="H47" s="4"/>
      <c r="I47" s="4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ht="25.5" customHeight="1">
      <c r="A48" s="5" t="s">
        <v>63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ht="25.5" customHeight="1">
      <c r="A49" s="7" t="s">
        <v>3</v>
      </c>
      <c r="B49" s="7" t="s">
        <v>4</v>
      </c>
      <c r="C49" s="7" t="s">
        <v>5</v>
      </c>
      <c r="D49" s="7" t="s">
        <v>6</v>
      </c>
      <c r="E49" s="7" t="s">
        <v>7</v>
      </c>
      <c r="F49" s="7" t="s">
        <v>8</v>
      </c>
      <c r="G49" s="7" t="s">
        <v>9</v>
      </c>
      <c r="H49" s="7" t="s">
        <v>10</v>
      </c>
      <c r="I49" s="7" t="s">
        <v>57</v>
      </c>
      <c r="J49" s="8" t="s">
        <v>12</v>
      </c>
      <c r="K49" s="8" t="s">
        <v>13</v>
      </c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ht="25.5" customHeight="1">
      <c r="A50" s="13">
        <v>1.0</v>
      </c>
      <c r="B50" s="11" t="s">
        <v>64</v>
      </c>
      <c r="C50" s="11"/>
      <c r="D50" s="9">
        <v>1.0</v>
      </c>
      <c r="E50" s="12">
        <v>2000.0</v>
      </c>
      <c r="F50" s="12">
        <f t="shared" ref="F50:F56" si="5">D50*E50</f>
        <v>2000</v>
      </c>
      <c r="G50" s="13"/>
      <c r="H50" s="15" t="s">
        <v>25</v>
      </c>
      <c r="I50" s="15"/>
      <c r="J50" s="16"/>
      <c r="K50" s="16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ht="25.5" customHeight="1">
      <c r="A51" s="13">
        <v>2.0</v>
      </c>
      <c r="B51" s="11" t="s">
        <v>65</v>
      </c>
      <c r="C51" s="11"/>
      <c r="D51" s="9">
        <v>1.0</v>
      </c>
      <c r="E51" s="12">
        <v>500.0</v>
      </c>
      <c r="F51" s="12">
        <f t="shared" si="5"/>
        <v>500</v>
      </c>
      <c r="G51" s="13"/>
      <c r="H51" s="15"/>
      <c r="I51" s="15"/>
      <c r="J51" s="16"/>
      <c r="K51" s="16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 ht="25.5" customHeight="1">
      <c r="A52" s="13">
        <v>3.0</v>
      </c>
      <c r="B52" s="11" t="s">
        <v>66</v>
      </c>
      <c r="C52" s="11" t="s">
        <v>67</v>
      </c>
      <c r="D52" s="9">
        <v>1.0</v>
      </c>
      <c r="E52" s="12">
        <v>400.0</v>
      </c>
      <c r="F52" s="12">
        <f t="shared" si="5"/>
        <v>400</v>
      </c>
      <c r="G52" s="13"/>
      <c r="H52" s="15" t="s">
        <v>25</v>
      </c>
      <c r="I52" s="15"/>
      <c r="J52" s="16"/>
      <c r="K52" s="16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 ht="25.5" customHeight="1">
      <c r="A53" s="13">
        <v>4.0</v>
      </c>
      <c r="B53" s="11" t="s">
        <v>68</v>
      </c>
      <c r="C53" s="11"/>
      <c r="D53" s="9">
        <v>1.0</v>
      </c>
      <c r="E53" s="12">
        <v>800.0</v>
      </c>
      <c r="F53" s="12">
        <f t="shared" si="5"/>
        <v>800</v>
      </c>
      <c r="G53" s="13"/>
      <c r="H53" s="15" t="s">
        <v>25</v>
      </c>
      <c r="I53" s="15"/>
      <c r="J53" s="16"/>
      <c r="K53" s="16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 ht="25.5" customHeight="1">
      <c r="A54" s="13">
        <v>5.0</v>
      </c>
      <c r="B54" s="11" t="s">
        <v>69</v>
      </c>
      <c r="C54" s="11"/>
      <c r="D54" s="26">
        <v>0.0</v>
      </c>
      <c r="E54" s="17">
        <v>0.0</v>
      </c>
      <c r="F54" s="12">
        <f t="shared" si="5"/>
        <v>0</v>
      </c>
      <c r="G54" s="13"/>
      <c r="H54" s="15"/>
      <c r="I54" s="15"/>
      <c r="J54" s="16"/>
      <c r="K54" s="16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 ht="25.5" customHeight="1">
      <c r="A55" s="13">
        <v>6.0</v>
      </c>
      <c r="B55" s="11" t="s">
        <v>70</v>
      </c>
      <c r="C55" s="11"/>
      <c r="D55" s="9">
        <v>1.0</v>
      </c>
      <c r="E55" s="12">
        <v>800.0</v>
      </c>
      <c r="F55" s="12">
        <f t="shared" si="5"/>
        <v>800</v>
      </c>
      <c r="G55" s="13"/>
      <c r="H55" s="15" t="s">
        <v>25</v>
      </c>
      <c r="I55" s="15"/>
      <c r="J55" s="16"/>
      <c r="K55" s="16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 ht="25.5" customHeight="1">
      <c r="A56" s="13">
        <v>7.0</v>
      </c>
      <c r="B56" s="11" t="s">
        <v>71</v>
      </c>
      <c r="C56" s="11" t="s">
        <v>72</v>
      </c>
      <c r="D56" s="9">
        <v>1.0</v>
      </c>
      <c r="E56" s="17">
        <v>400.0</v>
      </c>
      <c r="F56" s="12">
        <f t="shared" si="5"/>
        <v>400</v>
      </c>
      <c r="G56" s="13"/>
      <c r="H56" s="15" t="s">
        <v>25</v>
      </c>
      <c r="I56" s="15"/>
      <c r="J56" s="16"/>
      <c r="K56" s="40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 ht="21.75" customHeight="1">
      <c r="A57" s="18" t="s">
        <v>73</v>
      </c>
      <c r="B57" s="6"/>
      <c r="C57" s="6"/>
      <c r="D57" s="6"/>
      <c r="E57" s="6"/>
      <c r="F57" s="31">
        <f>SUM(F50:F56)</f>
        <v>4900</v>
      </c>
      <c r="G57" s="20"/>
      <c r="H57" s="20"/>
      <c r="I57" s="20"/>
      <c r="J57" s="20"/>
      <c r="K57" s="20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ht="15.75" customHeight="1">
      <c r="A58" s="1"/>
      <c r="B58" s="1"/>
      <c r="C58" s="1"/>
      <c r="D58" s="1"/>
      <c r="E58" s="1"/>
      <c r="F58" s="1"/>
      <c r="G58" s="4"/>
      <c r="H58" s="1"/>
      <c r="I58" s="1"/>
      <c r="J58" s="4"/>
      <c r="K58" s="4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ht="25.5" customHeight="1">
      <c r="A59" s="5" t="s">
        <v>74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 ht="21.75" customHeight="1">
      <c r="A60" s="7" t="s">
        <v>3</v>
      </c>
      <c r="B60" s="7" t="s">
        <v>4</v>
      </c>
      <c r="C60" s="7" t="s">
        <v>5</v>
      </c>
      <c r="D60" s="7" t="s">
        <v>6</v>
      </c>
      <c r="E60" s="7" t="s">
        <v>7</v>
      </c>
      <c r="F60" s="7" t="s">
        <v>8</v>
      </c>
      <c r="G60" s="7" t="s">
        <v>9</v>
      </c>
      <c r="H60" s="7" t="s">
        <v>10</v>
      </c>
      <c r="I60" s="7" t="s">
        <v>57</v>
      </c>
      <c r="J60" s="8" t="s">
        <v>12</v>
      </c>
      <c r="K60" s="8" t="s">
        <v>13</v>
      </c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</row>
    <row r="61" ht="29.25" customHeight="1">
      <c r="A61" s="13">
        <v>1.0</v>
      </c>
      <c r="B61" s="11" t="s">
        <v>75</v>
      </c>
      <c r="C61" s="11"/>
      <c r="D61" s="9">
        <v>1.0</v>
      </c>
      <c r="E61" s="17">
        <v>1000.0</v>
      </c>
      <c r="F61" s="12">
        <f t="shared" ref="F61:F62" si="6">D61*E61</f>
        <v>1000</v>
      </c>
      <c r="G61" s="13"/>
      <c r="H61" s="15" t="s">
        <v>25</v>
      </c>
      <c r="I61" s="15"/>
      <c r="J61" s="16"/>
      <c r="K61" s="16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ht="27.0" customHeight="1">
      <c r="A62" s="13">
        <v>2.0</v>
      </c>
      <c r="B62" s="11" t="s">
        <v>76</v>
      </c>
      <c r="C62" s="11"/>
      <c r="D62" s="9">
        <v>1.0</v>
      </c>
      <c r="E62" s="17">
        <v>900.0</v>
      </c>
      <c r="F62" s="12">
        <f t="shared" si="6"/>
        <v>900</v>
      </c>
      <c r="G62" s="13"/>
      <c r="H62" s="15" t="s">
        <v>25</v>
      </c>
      <c r="I62" s="15"/>
      <c r="J62" s="16"/>
      <c r="K62" s="16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ht="21.75" customHeight="1">
      <c r="A63" s="18" t="s">
        <v>77</v>
      </c>
      <c r="B63" s="6"/>
      <c r="C63" s="6"/>
      <c r="D63" s="6"/>
      <c r="E63" s="6"/>
      <c r="F63" s="31">
        <f>SUM(F61:F62)</f>
        <v>1900</v>
      </c>
      <c r="G63" s="20"/>
      <c r="H63" s="20"/>
      <c r="I63" s="20"/>
      <c r="J63" s="20"/>
      <c r="K63" s="20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ht="15.75" customHeight="1">
      <c r="A64" s="1"/>
      <c r="B64" s="1"/>
      <c r="C64" s="1"/>
      <c r="D64" s="1"/>
      <c r="E64" s="1"/>
      <c r="F64" s="1"/>
      <c r="G64" s="1"/>
      <c r="H64" s="4"/>
      <c r="I64" s="4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ht="28.5" customHeight="1">
      <c r="A65" s="5" t="s">
        <v>78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ht="28.5" customHeight="1">
      <c r="A66" s="7" t="s">
        <v>3</v>
      </c>
      <c r="B66" s="7" t="s">
        <v>4</v>
      </c>
      <c r="C66" s="7" t="s">
        <v>5</v>
      </c>
      <c r="D66" s="7" t="s">
        <v>6</v>
      </c>
      <c r="E66" s="7" t="s">
        <v>7</v>
      </c>
      <c r="F66" s="7" t="s">
        <v>8</v>
      </c>
      <c r="G66" s="7" t="s">
        <v>9</v>
      </c>
      <c r="H66" s="7" t="s">
        <v>10</v>
      </c>
      <c r="I66" s="7" t="s">
        <v>57</v>
      </c>
      <c r="J66" s="8" t="s">
        <v>12</v>
      </c>
      <c r="K66" s="8" t="s">
        <v>13</v>
      </c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ht="15.75" customHeight="1">
      <c r="A67" s="13">
        <v>1.0</v>
      </c>
      <c r="B67" s="11" t="s">
        <v>79</v>
      </c>
      <c r="C67" s="11"/>
      <c r="D67" s="9">
        <v>1.0</v>
      </c>
      <c r="E67" s="17">
        <v>1000.0</v>
      </c>
      <c r="F67" s="12">
        <f t="shared" ref="F67:F71" si="7">D67*E67</f>
        <v>1000</v>
      </c>
      <c r="G67" s="13"/>
      <c r="H67" s="15" t="s">
        <v>25</v>
      </c>
      <c r="I67" s="15"/>
      <c r="J67" s="16"/>
      <c r="K67" s="40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ht="15.75" customHeight="1">
      <c r="A68" s="13">
        <v>2.0</v>
      </c>
      <c r="B68" s="11" t="s">
        <v>80</v>
      </c>
      <c r="C68" s="11"/>
      <c r="D68" s="9">
        <v>1.0</v>
      </c>
      <c r="E68" s="17">
        <v>0.0</v>
      </c>
      <c r="F68" s="12">
        <f t="shared" si="7"/>
        <v>0</v>
      </c>
      <c r="G68" s="13"/>
      <c r="H68" s="15" t="s">
        <v>25</v>
      </c>
      <c r="I68" s="15"/>
      <c r="J68" s="16"/>
      <c r="K68" s="40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ht="15.75" customHeight="1">
      <c r="A69" s="13">
        <v>3.0</v>
      </c>
      <c r="B69" s="11" t="s">
        <v>81</v>
      </c>
      <c r="C69" s="11"/>
      <c r="D69" s="9">
        <v>1.0</v>
      </c>
      <c r="E69" s="17">
        <v>0.0</v>
      </c>
      <c r="F69" s="12">
        <f t="shared" si="7"/>
        <v>0</v>
      </c>
      <c r="G69" s="13"/>
      <c r="H69" s="15" t="s">
        <v>25</v>
      </c>
      <c r="I69" s="15"/>
      <c r="J69" s="16"/>
      <c r="K69" s="40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ht="15.75" customHeight="1">
      <c r="A70" s="13">
        <v>4.0</v>
      </c>
      <c r="B70" s="11" t="s">
        <v>82</v>
      </c>
      <c r="C70" s="11"/>
      <c r="D70" s="9">
        <v>1.0</v>
      </c>
      <c r="E70" s="17">
        <v>1500.0</v>
      </c>
      <c r="F70" s="12">
        <f t="shared" si="7"/>
        <v>1500</v>
      </c>
      <c r="G70" s="13"/>
      <c r="H70" s="15" t="s">
        <v>25</v>
      </c>
      <c r="I70" s="15"/>
      <c r="J70" s="16"/>
      <c r="K70" s="40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ht="15.75" customHeight="1">
      <c r="A71" s="13">
        <v>5.0</v>
      </c>
      <c r="B71" s="11" t="s">
        <v>83</v>
      </c>
      <c r="C71" s="11"/>
      <c r="D71" s="9">
        <v>1.0</v>
      </c>
      <c r="E71" s="12">
        <v>0.0</v>
      </c>
      <c r="F71" s="12">
        <f t="shared" si="7"/>
        <v>0</v>
      </c>
      <c r="G71" s="13"/>
      <c r="H71" s="15"/>
      <c r="I71" s="15"/>
      <c r="J71" s="16"/>
      <c r="K71" s="40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ht="21.75" customHeight="1">
      <c r="A72" s="18" t="s">
        <v>84</v>
      </c>
      <c r="B72" s="6"/>
      <c r="C72" s="6"/>
      <c r="D72" s="6"/>
      <c r="E72" s="6"/>
      <c r="F72" s="31">
        <f>SUM(F67:F71)</f>
        <v>2500</v>
      </c>
      <c r="G72" s="20"/>
      <c r="H72" s="20"/>
      <c r="I72" s="20"/>
      <c r="J72" s="20"/>
      <c r="K72" s="20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ht="15.75" customHeight="1">
      <c r="A73" s="1"/>
      <c r="B73" s="1"/>
      <c r="C73" s="1"/>
      <c r="D73" s="1"/>
      <c r="E73" s="1"/>
      <c r="F73" s="1"/>
      <c r="G73" s="4"/>
      <c r="H73" s="1"/>
      <c r="I73" s="1"/>
      <c r="J73" s="4"/>
      <c r="K73" s="4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ht="25.5" customHeight="1">
      <c r="A74" s="5" t="s">
        <v>85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ht="21.75" customHeight="1">
      <c r="A75" s="7" t="s">
        <v>3</v>
      </c>
      <c r="B75" s="7" t="s">
        <v>4</v>
      </c>
      <c r="C75" s="7" t="s">
        <v>5</v>
      </c>
      <c r="D75" s="7" t="s">
        <v>6</v>
      </c>
      <c r="E75" s="7" t="s">
        <v>7</v>
      </c>
      <c r="F75" s="7" t="s">
        <v>8</v>
      </c>
      <c r="G75" s="7" t="s">
        <v>9</v>
      </c>
      <c r="H75" s="7" t="s">
        <v>22</v>
      </c>
      <c r="I75" s="7" t="s">
        <v>11</v>
      </c>
      <c r="J75" s="8" t="s">
        <v>12</v>
      </c>
      <c r="K75" s="8" t="s">
        <v>13</v>
      </c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ht="15.75" customHeight="1">
      <c r="A76" s="9">
        <v>1.0</v>
      </c>
      <c r="B76" s="11" t="s">
        <v>86</v>
      </c>
      <c r="C76" s="11"/>
      <c r="D76" s="26">
        <v>15.0</v>
      </c>
      <c r="E76" s="12">
        <v>33.0</v>
      </c>
      <c r="F76" s="12">
        <f t="shared" ref="F76:F85" si="8">D76*E76</f>
        <v>495</v>
      </c>
      <c r="G76" s="13"/>
      <c r="H76" s="15" t="s">
        <v>87</v>
      </c>
      <c r="I76" s="15"/>
      <c r="J76" s="16"/>
      <c r="K76" s="16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ht="15.75" customHeight="1">
      <c r="A77" s="9">
        <v>2.0</v>
      </c>
      <c r="B77" s="11" t="s">
        <v>88</v>
      </c>
      <c r="C77" s="11"/>
      <c r="D77" s="26">
        <v>15.0</v>
      </c>
      <c r="E77" s="12">
        <v>76.0</v>
      </c>
      <c r="F77" s="12">
        <f t="shared" si="8"/>
        <v>1140</v>
      </c>
      <c r="G77" s="13"/>
      <c r="H77" s="15" t="s">
        <v>25</v>
      </c>
      <c r="I77" s="15"/>
      <c r="J77" s="16"/>
      <c r="K77" s="16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ht="15.75" customHeight="1">
      <c r="A78" s="9">
        <v>3.0</v>
      </c>
      <c r="B78" s="11" t="s">
        <v>89</v>
      </c>
      <c r="C78" s="11"/>
      <c r="D78" s="26">
        <v>8.0</v>
      </c>
      <c r="E78" s="12">
        <v>73.0</v>
      </c>
      <c r="F78" s="12">
        <f t="shared" si="8"/>
        <v>584</v>
      </c>
      <c r="G78" s="13"/>
      <c r="H78" s="15" t="s">
        <v>25</v>
      </c>
      <c r="I78" s="15"/>
      <c r="J78" s="16"/>
      <c r="K78" s="16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ht="15.75" customHeight="1">
      <c r="A79" s="9">
        <v>4.0</v>
      </c>
      <c r="B79" s="11" t="s">
        <v>90</v>
      </c>
      <c r="C79" s="11"/>
      <c r="D79" s="26">
        <v>5.0</v>
      </c>
      <c r="E79" s="12">
        <v>165.0</v>
      </c>
      <c r="F79" s="12">
        <f t="shared" si="8"/>
        <v>825</v>
      </c>
      <c r="G79" s="13"/>
      <c r="H79" s="15" t="s">
        <v>25</v>
      </c>
      <c r="I79" s="15"/>
      <c r="J79" s="15"/>
      <c r="K79" s="15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ht="15.75" customHeight="1">
      <c r="A80" s="9">
        <v>5.0</v>
      </c>
      <c r="B80" s="11" t="s">
        <v>91</v>
      </c>
      <c r="C80" s="11"/>
      <c r="D80" s="26">
        <v>1.0</v>
      </c>
      <c r="E80" s="12">
        <v>250.0</v>
      </c>
      <c r="F80" s="12">
        <f t="shared" si="8"/>
        <v>250</v>
      </c>
      <c r="G80" s="13"/>
      <c r="H80" s="15"/>
      <c r="I80" s="15"/>
      <c r="J80" s="15"/>
      <c r="K80" s="15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ht="15.75" customHeight="1">
      <c r="A81" s="9">
        <v>5.0</v>
      </c>
      <c r="B81" s="11" t="s">
        <v>92</v>
      </c>
      <c r="C81" s="11"/>
      <c r="D81" s="26">
        <v>50.0</v>
      </c>
      <c r="E81" s="12">
        <v>150.0</v>
      </c>
      <c r="F81" s="12">
        <f t="shared" si="8"/>
        <v>7500</v>
      </c>
      <c r="G81" s="41"/>
      <c r="H81" s="42" t="s">
        <v>25</v>
      </c>
      <c r="I81" s="15"/>
      <c r="J81" s="15"/>
      <c r="K81" s="15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ht="15.75" customHeight="1">
      <c r="A82" s="9">
        <v>6.0</v>
      </c>
      <c r="B82" s="11" t="s">
        <v>93</v>
      </c>
      <c r="C82" s="11"/>
      <c r="D82" s="26">
        <v>400.0</v>
      </c>
      <c r="E82" s="12">
        <v>1.6</v>
      </c>
      <c r="F82" s="12">
        <f t="shared" si="8"/>
        <v>640</v>
      </c>
      <c r="G82" s="13"/>
      <c r="H82" s="15" t="s">
        <v>25</v>
      </c>
      <c r="I82" s="15"/>
      <c r="J82" s="15"/>
      <c r="K82" s="15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ht="15.75" customHeight="1">
      <c r="A83" s="9">
        <v>7.0</v>
      </c>
      <c r="B83" s="11" t="s">
        <v>94</v>
      </c>
      <c r="C83" s="11"/>
      <c r="D83" s="26">
        <v>100.0</v>
      </c>
      <c r="E83" s="12">
        <v>2.0</v>
      </c>
      <c r="F83" s="12">
        <f t="shared" si="8"/>
        <v>200</v>
      </c>
      <c r="G83" s="13"/>
      <c r="H83" s="15" t="s">
        <v>25</v>
      </c>
      <c r="I83" s="15"/>
      <c r="J83" s="15"/>
      <c r="K83" s="15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ht="15.75" customHeight="1">
      <c r="A84" s="9">
        <v>8.0</v>
      </c>
      <c r="B84" s="11" t="s">
        <v>95</v>
      </c>
      <c r="C84" s="11"/>
      <c r="D84" s="26">
        <v>50.0</v>
      </c>
      <c r="E84" s="12">
        <v>4.5</v>
      </c>
      <c r="F84" s="12">
        <f t="shared" si="8"/>
        <v>225</v>
      </c>
      <c r="G84" s="13"/>
      <c r="H84" s="15"/>
      <c r="I84" s="15"/>
      <c r="J84" s="15"/>
      <c r="K84" s="15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ht="15.75" customHeight="1">
      <c r="A85" s="9">
        <v>9.0</v>
      </c>
      <c r="B85" s="11" t="s">
        <v>96</v>
      </c>
      <c r="C85" s="11"/>
      <c r="D85" s="26">
        <v>150.0</v>
      </c>
      <c r="E85" s="12">
        <v>8.0</v>
      </c>
      <c r="F85" s="12">
        <f t="shared" si="8"/>
        <v>1200</v>
      </c>
      <c r="G85" s="41"/>
      <c r="H85" s="42" t="s">
        <v>25</v>
      </c>
      <c r="I85" s="15"/>
      <c r="J85" s="15"/>
      <c r="K85" s="15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ht="21.75" customHeight="1">
      <c r="A86" s="18" t="s">
        <v>97</v>
      </c>
      <c r="B86" s="6"/>
      <c r="C86" s="6"/>
      <c r="D86" s="6"/>
      <c r="E86" s="6"/>
      <c r="F86" s="31">
        <f>SUM(F76:F82)</f>
        <v>11434</v>
      </c>
      <c r="G86" s="20"/>
      <c r="H86" s="20"/>
      <c r="I86" s="20"/>
      <c r="J86" s="20"/>
      <c r="K86" s="20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ht="15.75" customHeight="1">
      <c r="A87" s="1"/>
      <c r="B87" s="1"/>
      <c r="C87" s="1"/>
      <c r="D87" s="1"/>
      <c r="E87" s="1"/>
      <c r="F87" s="1"/>
      <c r="G87" s="1"/>
      <c r="H87" s="4"/>
      <c r="I87" s="4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ht="25.5" customHeight="1">
      <c r="A88" s="5" t="s">
        <v>98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ht="21.75" customHeight="1">
      <c r="A89" s="7" t="s">
        <v>3</v>
      </c>
      <c r="B89" s="7" t="s">
        <v>4</v>
      </c>
      <c r="C89" s="7" t="s">
        <v>5</v>
      </c>
      <c r="D89" s="7" t="s">
        <v>6</v>
      </c>
      <c r="E89" s="7" t="s">
        <v>7</v>
      </c>
      <c r="F89" s="7" t="s">
        <v>8</v>
      </c>
      <c r="G89" s="7" t="s">
        <v>9</v>
      </c>
      <c r="H89" s="7" t="s">
        <v>22</v>
      </c>
      <c r="I89" s="7" t="s">
        <v>11</v>
      </c>
      <c r="J89" s="8" t="s">
        <v>12</v>
      </c>
      <c r="K89" s="8" t="s">
        <v>13</v>
      </c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ht="15.75" customHeight="1">
      <c r="A90" s="9">
        <v>1.0</v>
      </c>
      <c r="B90" s="11" t="s">
        <v>99</v>
      </c>
      <c r="C90" s="11"/>
      <c r="D90" s="9">
        <v>1.0</v>
      </c>
      <c r="E90" s="17">
        <v>3500.0</v>
      </c>
      <c r="F90" s="12">
        <f t="shared" ref="F90:F92" si="9">D90*E90</f>
        <v>3500</v>
      </c>
      <c r="G90" s="13"/>
      <c r="H90" s="15" t="s">
        <v>25</v>
      </c>
      <c r="I90" s="15"/>
      <c r="J90" s="16"/>
      <c r="K90" s="16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ht="15.75" customHeight="1">
      <c r="A91" s="9">
        <v>2.0</v>
      </c>
      <c r="B91" s="11" t="s">
        <v>100</v>
      </c>
      <c r="C91" s="11"/>
      <c r="D91" s="9">
        <v>1.0</v>
      </c>
      <c r="E91" s="12">
        <v>800.0</v>
      </c>
      <c r="F91" s="12">
        <f t="shared" si="9"/>
        <v>800</v>
      </c>
      <c r="G91" s="13"/>
      <c r="H91" s="15" t="s">
        <v>25</v>
      </c>
      <c r="I91" s="15"/>
      <c r="J91" s="16"/>
      <c r="K91" s="16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ht="15.75" customHeight="1">
      <c r="A92" s="9"/>
      <c r="B92" s="11"/>
      <c r="C92" s="11"/>
      <c r="D92" s="9">
        <v>1.0</v>
      </c>
      <c r="E92" s="12"/>
      <c r="F92" s="12">
        <f t="shared" si="9"/>
        <v>0</v>
      </c>
      <c r="G92" s="13"/>
      <c r="H92" s="15" t="s">
        <v>25</v>
      </c>
      <c r="I92" s="15"/>
      <c r="J92" s="16"/>
      <c r="K92" s="16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ht="15.75" customHeight="1">
      <c r="A93" s="35"/>
      <c r="B93" s="36"/>
      <c r="C93" s="36"/>
      <c r="D93" s="35"/>
      <c r="E93" s="43"/>
      <c r="F93" s="43"/>
      <c r="G93" s="36"/>
      <c r="H93" s="44"/>
      <c r="I93" s="44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ht="21.75" customHeight="1">
      <c r="A94" s="18" t="s">
        <v>101</v>
      </c>
      <c r="B94" s="6"/>
      <c r="C94" s="6"/>
      <c r="D94" s="6"/>
      <c r="E94" s="6"/>
      <c r="F94" s="31">
        <f>SUM(F90:F92)</f>
        <v>4300</v>
      </c>
      <c r="G94" s="20"/>
      <c r="H94" s="20"/>
      <c r="I94" s="20"/>
      <c r="J94" s="20"/>
      <c r="K94" s="20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ht="15.75" customHeight="1">
      <c r="A95" s="1"/>
      <c r="B95" s="1"/>
      <c r="C95" s="1"/>
      <c r="D95" s="1"/>
      <c r="E95" s="1"/>
      <c r="F95" s="1"/>
      <c r="G95" s="4"/>
      <c r="H95" s="1"/>
      <c r="I95" s="1"/>
      <c r="J95" s="4"/>
      <c r="K95" s="4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ht="30.0" customHeight="1">
      <c r="A96" s="45" t="s">
        <v>102</v>
      </c>
      <c r="B96" s="6"/>
      <c r="C96" s="6"/>
      <c r="D96" s="6"/>
      <c r="E96" s="6"/>
      <c r="F96" s="46">
        <f>F11+F31+F39+F46+F57+F63+F72+F86+F94</f>
        <v>55784</v>
      </c>
      <c r="G96" s="20"/>
      <c r="H96" s="20"/>
      <c r="I96" s="20"/>
      <c r="J96" s="20"/>
      <c r="K96" s="20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4"/>
      <c r="K97" s="4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4"/>
      <c r="K98" s="4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4"/>
      <c r="K99" s="4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4"/>
      <c r="K100" s="4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4"/>
      <c r="K101" s="4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4"/>
      <c r="K102" s="4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4"/>
      <c r="K103" s="4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4"/>
      <c r="K104" s="4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4"/>
      <c r="K105" s="4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4"/>
      <c r="K106" s="4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4"/>
      <c r="K107" s="4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4"/>
      <c r="K108" s="4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4"/>
      <c r="K109" s="4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4"/>
      <c r="K110" s="4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4"/>
      <c r="K111" s="4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4"/>
      <c r="K112" s="4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4"/>
      <c r="K113" s="4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4"/>
      <c r="K114" s="4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4"/>
      <c r="K115" s="4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4"/>
      <c r="K116" s="4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4"/>
      <c r="K117" s="4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4"/>
      <c r="K118" s="4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4"/>
      <c r="K119" s="4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4"/>
      <c r="K120" s="4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4"/>
      <c r="K121" s="4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4"/>
      <c r="K122" s="4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4"/>
      <c r="K123" s="4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4"/>
      <c r="K124" s="4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4"/>
      <c r="K125" s="4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4"/>
      <c r="K126" s="4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4"/>
      <c r="K127" s="4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4"/>
      <c r="K128" s="4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4"/>
      <c r="K129" s="4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4"/>
      <c r="K130" s="4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4"/>
      <c r="K131" s="4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4"/>
      <c r="K132" s="4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4"/>
      <c r="K133" s="4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4"/>
      <c r="K134" s="4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4"/>
      <c r="K135" s="4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4"/>
      <c r="K136" s="4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4"/>
      <c r="K137" s="4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4"/>
      <c r="K138" s="4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4"/>
      <c r="K139" s="4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4"/>
      <c r="K140" s="4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4"/>
      <c r="K141" s="4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4"/>
      <c r="K142" s="4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4"/>
      <c r="K143" s="4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4"/>
      <c r="K144" s="4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4"/>
      <c r="K145" s="4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4"/>
      <c r="K146" s="4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4"/>
      <c r="K147" s="4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4"/>
      <c r="K148" s="4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4"/>
      <c r="K149" s="4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4"/>
      <c r="K150" s="4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4"/>
      <c r="K151" s="4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4"/>
      <c r="K152" s="4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4"/>
      <c r="K153" s="4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4"/>
      <c r="K154" s="4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4"/>
      <c r="K155" s="4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4"/>
      <c r="K156" s="4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4"/>
      <c r="K157" s="4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4"/>
      <c r="K158" s="4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4"/>
      <c r="K159" s="4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4"/>
      <c r="K160" s="4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4"/>
      <c r="K161" s="4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4"/>
      <c r="K162" s="4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4"/>
      <c r="K163" s="4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4"/>
      <c r="K164" s="4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4"/>
      <c r="K165" s="4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4"/>
      <c r="K166" s="4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4"/>
      <c r="K167" s="4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4"/>
      <c r="K168" s="4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4"/>
      <c r="K169" s="4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4"/>
      <c r="K170" s="4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4"/>
      <c r="K171" s="4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4"/>
      <c r="K172" s="4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4"/>
      <c r="K173" s="4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4"/>
      <c r="K174" s="4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4"/>
      <c r="K175" s="4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4"/>
      <c r="K176" s="4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4"/>
      <c r="K177" s="4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4"/>
      <c r="K178" s="4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4"/>
      <c r="K179" s="4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4"/>
      <c r="K180" s="4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4"/>
      <c r="K181" s="4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4"/>
      <c r="K182" s="4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4"/>
      <c r="K183" s="4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4"/>
      <c r="K184" s="4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4"/>
      <c r="K185" s="4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4"/>
      <c r="K186" s="4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4"/>
      <c r="K187" s="4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4"/>
      <c r="K188" s="4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4"/>
      <c r="K189" s="4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4"/>
      <c r="K190" s="4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4"/>
      <c r="K191" s="4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4"/>
      <c r="K192" s="4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4"/>
      <c r="K193" s="4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4"/>
      <c r="K194" s="4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4"/>
      <c r="K195" s="4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4"/>
      <c r="K196" s="4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4"/>
      <c r="K197" s="4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4"/>
      <c r="K198" s="4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4"/>
      <c r="K199" s="4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4"/>
      <c r="K200" s="4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4"/>
      <c r="K201" s="4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4"/>
      <c r="K202" s="4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4"/>
      <c r="K203" s="4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4"/>
      <c r="K204" s="4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4"/>
      <c r="K205" s="4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4"/>
      <c r="K206" s="4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4"/>
      <c r="K207" s="4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4"/>
      <c r="K208" s="4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4"/>
      <c r="K209" s="4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4"/>
      <c r="K210" s="4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4"/>
      <c r="K211" s="4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4"/>
      <c r="K212" s="4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4"/>
      <c r="K213" s="4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4"/>
      <c r="K214" s="4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4"/>
      <c r="K215" s="4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4"/>
      <c r="K216" s="4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4"/>
      <c r="K217" s="4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4"/>
      <c r="K218" s="4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4"/>
      <c r="K219" s="4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4"/>
      <c r="K220" s="4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4"/>
      <c r="K221" s="4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4"/>
      <c r="K222" s="4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4"/>
      <c r="K223" s="4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4"/>
      <c r="K224" s="4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4"/>
      <c r="K225" s="4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4"/>
      <c r="K226" s="4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4"/>
      <c r="K227" s="4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4"/>
      <c r="K228" s="4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4"/>
      <c r="K229" s="4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4"/>
      <c r="K230" s="4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4"/>
      <c r="K231" s="4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4"/>
      <c r="K232" s="4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4"/>
      <c r="K233" s="4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4"/>
      <c r="K234" s="4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4"/>
      <c r="K235" s="4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4"/>
      <c r="K236" s="4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4"/>
      <c r="K237" s="4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4"/>
      <c r="K238" s="4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4"/>
      <c r="K239" s="4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4"/>
      <c r="K240" s="4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4"/>
      <c r="K241" s="4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4"/>
      <c r="K242" s="4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4"/>
      <c r="K243" s="4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4"/>
      <c r="K244" s="4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4"/>
      <c r="K245" s="4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4"/>
      <c r="K246" s="4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4"/>
      <c r="K247" s="4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4"/>
      <c r="K248" s="4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4"/>
      <c r="K249" s="4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4"/>
      <c r="K250" s="4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4"/>
      <c r="K251" s="4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4"/>
      <c r="K252" s="4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4"/>
      <c r="K253" s="4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4"/>
      <c r="K254" s="4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4"/>
      <c r="K255" s="4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4"/>
      <c r="K256" s="4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4"/>
      <c r="K257" s="4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4"/>
      <c r="K258" s="4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4"/>
      <c r="K259" s="4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4"/>
      <c r="K260" s="4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4"/>
      <c r="K261" s="4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4"/>
      <c r="K262" s="4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4"/>
      <c r="K263" s="4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4"/>
      <c r="K264" s="4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4"/>
      <c r="K265" s="4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4"/>
      <c r="K266" s="4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4"/>
      <c r="K267" s="4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4"/>
      <c r="K268" s="4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4"/>
      <c r="K269" s="4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4"/>
      <c r="K270" s="4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4"/>
      <c r="K271" s="4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4"/>
      <c r="K272" s="4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4"/>
      <c r="K273" s="4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4"/>
      <c r="K274" s="4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4"/>
      <c r="K275" s="4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4"/>
      <c r="K276" s="4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4"/>
      <c r="K277" s="4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4"/>
      <c r="K278" s="4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4"/>
      <c r="K279" s="4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4"/>
      <c r="K280" s="4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4"/>
      <c r="K281" s="4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4"/>
      <c r="K282" s="4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4"/>
      <c r="K283" s="4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4"/>
      <c r="K284" s="4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4"/>
      <c r="K285" s="4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4"/>
      <c r="K286" s="4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4"/>
      <c r="K287" s="4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4"/>
      <c r="K288" s="4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4"/>
      <c r="K289" s="4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4"/>
      <c r="K290" s="4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4"/>
      <c r="K291" s="4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4"/>
      <c r="K292" s="4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4"/>
      <c r="K293" s="4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4"/>
      <c r="K294" s="4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4"/>
      <c r="K295" s="4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4"/>
      <c r="K296" s="4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B1:K1"/>
    <mergeCell ref="B2:K2"/>
    <mergeCell ref="A4:K4"/>
    <mergeCell ref="A11:E11"/>
    <mergeCell ref="A13:K13"/>
    <mergeCell ref="A31:E31"/>
    <mergeCell ref="A33:K33"/>
    <mergeCell ref="A63:E63"/>
    <mergeCell ref="A72:E72"/>
    <mergeCell ref="A74:K74"/>
    <mergeCell ref="A86:E86"/>
    <mergeCell ref="A88:K88"/>
    <mergeCell ref="A94:E94"/>
    <mergeCell ref="A96:E96"/>
    <mergeCell ref="A39:E39"/>
    <mergeCell ref="A41:K41"/>
    <mergeCell ref="A46:E46"/>
    <mergeCell ref="A48:K48"/>
    <mergeCell ref="A57:E57"/>
    <mergeCell ref="A59:K59"/>
    <mergeCell ref="A65:K65"/>
  </mergeCells>
  <conditionalFormatting sqref="G5:G11 G13:G31 G33:G39 G41:G46 G49:G58 G60:G63 G66:G86 G88:G92 G94:G95">
    <cfRule type="cellIs" dxfId="0" priority="1" operator="equal">
      <formula>"Domply"</formula>
    </cfRule>
  </conditionalFormatting>
  <conditionalFormatting sqref="G5:G11 G13:G31 G33:G39 G41:G46 G49:G58 G60:G63 G66:G86 G88:G92 G94:G95">
    <cfRule type="cellIs" dxfId="1" priority="2" operator="equal">
      <formula>"Cliente"</formula>
    </cfRule>
  </conditionalFormatting>
  <conditionalFormatting sqref="G5:G11 G13:G31 G33:G39 G41:G46 G49:G58 G60:G63 G66:G86 G88:G92 G94:G95">
    <cfRule type="cellIs" dxfId="2" priority="3" operator="equal">
      <formula>"Shotgun"</formula>
    </cfRule>
  </conditionalFormatting>
  <conditionalFormatting sqref="G5:G11 G13:G31 G33:G39 G41:G46 G49:G58 G60:G63 G66:G86 G88:G92 G94:G95">
    <cfRule type="cellIs" dxfId="3" priority="4" operator="equal">
      <formula>"Hoppin"</formula>
    </cfRule>
  </conditionalFormatting>
  <dataValidations>
    <dataValidation type="list" allowBlank="1" sqref="G5:G11 G14:G31 G34:G39 G42:G46 G49:G57 G60:G63 G66:G73 G75:G80 G82:G84 G86 G89:G92 G94:G95">
      <formula1>"Domply,Marcos,Gandaya,Hoppin,Gigios"</formula1>
    </dataValidation>
    <dataValidation type="list" allowBlank="1" showErrorMessage="1" sqref="H6:H10 H15:H30 H35:H38 H43:H45 H50:H56 H61:H62 H67:H70 H76:H85 H90:H92">
      <formula1>"ok,Em negociaçao,a procura"</formula1>
    </dataValidation>
    <dataValidation type="list" allowBlank="1" sqref="G81 G85">
      <formula1>"Domply,Gregoire,Shotgun,Hoppin"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5"/>
    <col customWidth="1" min="2" max="2" width="16.5"/>
    <col customWidth="1" min="3" max="3" width="17.38"/>
    <col customWidth="1" min="4" max="4" width="17.25"/>
    <col customWidth="1" min="5" max="5" width="16.63"/>
    <col customWidth="1" min="6" max="6" width="16.13"/>
    <col customWidth="1" min="7" max="7" width="6.5"/>
    <col customWidth="1" min="8" max="8" width="16.13"/>
    <col customWidth="1" min="9" max="9" width="15.5"/>
    <col customWidth="1" min="10" max="10" width="7.75"/>
    <col customWidth="1" min="11" max="11" width="18.13"/>
    <col customWidth="1" min="12" max="12" width="15.13"/>
    <col customWidth="1" min="13" max="14" width="8.63"/>
    <col customWidth="1" min="15" max="15" width="9.88"/>
    <col customWidth="1" min="16" max="16" width="15.63"/>
  </cols>
  <sheetData>
    <row r="1" ht="14.25" customHeight="1">
      <c r="A1" s="47"/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</row>
    <row r="2" ht="14.25" customHeight="1">
      <c r="A2" s="47"/>
      <c r="B2" s="48" t="s">
        <v>103</v>
      </c>
      <c r="C2" s="49"/>
      <c r="D2" s="49"/>
      <c r="E2" s="49"/>
      <c r="F2" s="50"/>
      <c r="G2" s="47"/>
      <c r="H2" s="47"/>
      <c r="I2" s="47"/>
      <c r="J2" s="47"/>
      <c r="K2" s="47"/>
      <c r="L2" s="47"/>
      <c r="M2" s="47"/>
    </row>
    <row r="3" ht="14.25" customHeight="1">
      <c r="A3" s="47"/>
      <c r="B3" s="51" t="s">
        <v>104</v>
      </c>
      <c r="C3" s="51" t="s">
        <v>105</v>
      </c>
      <c r="D3" s="51" t="s">
        <v>106</v>
      </c>
      <c r="E3" s="51" t="s">
        <v>107</v>
      </c>
      <c r="F3" s="51" t="s">
        <v>108</v>
      </c>
      <c r="G3" s="47"/>
      <c r="H3" s="52" t="s">
        <v>109</v>
      </c>
      <c r="I3" s="50"/>
      <c r="J3" s="47"/>
      <c r="K3" s="53" t="s">
        <v>110</v>
      </c>
      <c r="L3" s="50"/>
      <c r="M3" s="47"/>
    </row>
    <row r="4" ht="14.25" customHeight="1">
      <c r="A4" s="47"/>
      <c r="B4" s="54" t="s">
        <v>111</v>
      </c>
      <c r="C4" s="55">
        <v>35.0</v>
      </c>
      <c r="D4" s="56">
        <v>30.0</v>
      </c>
      <c r="E4" s="55">
        <f t="shared" ref="E4:E16" si="1">C4*D4</f>
        <v>1050</v>
      </c>
      <c r="F4" s="55">
        <f t="shared" ref="F4:F13" si="2">E4*0.9</f>
        <v>945</v>
      </c>
      <c r="G4" s="47"/>
      <c r="H4" s="57" t="s">
        <v>112</v>
      </c>
      <c r="I4" s="57">
        <f>SUM(D4:D16)</f>
        <v>390</v>
      </c>
      <c r="J4" s="47"/>
      <c r="K4" s="57" t="s">
        <v>113</v>
      </c>
      <c r="L4" s="58">
        <f>I13+I6</f>
        <v>55320</v>
      </c>
      <c r="M4" s="47"/>
    </row>
    <row r="5" ht="14.25" customHeight="1">
      <c r="A5" s="47"/>
      <c r="B5" s="54" t="s">
        <v>114</v>
      </c>
      <c r="C5" s="55">
        <v>35.0</v>
      </c>
      <c r="D5" s="56">
        <v>30.0</v>
      </c>
      <c r="E5" s="55">
        <f t="shared" si="1"/>
        <v>1050</v>
      </c>
      <c r="F5" s="55">
        <f t="shared" si="2"/>
        <v>945</v>
      </c>
      <c r="G5" s="47"/>
      <c r="H5" s="57" t="s">
        <v>107</v>
      </c>
      <c r="I5" s="58">
        <f>SUM(E4:E16)</f>
        <v>24000</v>
      </c>
      <c r="J5" s="47"/>
      <c r="K5" s="57" t="s">
        <v>115</v>
      </c>
      <c r="L5" s="59">
        <v>55000.0</v>
      </c>
      <c r="M5" s="47"/>
      <c r="P5" s="60" t="s">
        <v>116</v>
      </c>
    </row>
    <row r="6" ht="14.25" customHeight="1">
      <c r="A6" s="47"/>
      <c r="B6" s="54" t="s">
        <v>117</v>
      </c>
      <c r="C6" s="55">
        <v>45.0</v>
      </c>
      <c r="D6" s="56">
        <v>20.0</v>
      </c>
      <c r="E6" s="55">
        <f t="shared" si="1"/>
        <v>900</v>
      </c>
      <c r="F6" s="55">
        <f t="shared" si="2"/>
        <v>810</v>
      </c>
      <c r="G6" s="47"/>
      <c r="H6" s="57" t="s">
        <v>118</v>
      </c>
      <c r="I6" s="58">
        <f>SUM(F4:F16)</f>
        <v>22320</v>
      </c>
      <c r="J6" s="47"/>
      <c r="K6" s="57" t="s">
        <v>119</v>
      </c>
      <c r="L6" s="58">
        <f>L4-L5</f>
        <v>320</v>
      </c>
      <c r="M6" s="47"/>
      <c r="O6" s="60" t="s">
        <v>116</v>
      </c>
    </row>
    <row r="7" ht="14.25" customHeight="1">
      <c r="A7" s="47"/>
      <c r="B7" s="54" t="s">
        <v>120</v>
      </c>
      <c r="C7" s="55">
        <v>55.0</v>
      </c>
      <c r="D7" s="56">
        <v>40.0</v>
      </c>
      <c r="E7" s="55">
        <f t="shared" si="1"/>
        <v>2200</v>
      </c>
      <c r="F7" s="55">
        <f t="shared" si="2"/>
        <v>1980</v>
      </c>
      <c r="G7" s="47"/>
      <c r="H7" s="47"/>
      <c r="I7" s="47"/>
      <c r="J7" s="47"/>
      <c r="M7" s="47"/>
    </row>
    <row r="8" ht="14.25" customHeight="1">
      <c r="A8" s="47"/>
      <c r="B8" s="54" t="s">
        <v>121</v>
      </c>
      <c r="C8" s="61">
        <v>0.0</v>
      </c>
      <c r="D8" s="56">
        <v>0.0</v>
      </c>
      <c r="E8" s="55">
        <f t="shared" si="1"/>
        <v>0</v>
      </c>
      <c r="F8" s="62">
        <f t="shared" si="2"/>
        <v>0</v>
      </c>
      <c r="G8" s="47"/>
      <c r="H8" s="47"/>
      <c r="I8" s="47"/>
      <c r="J8" s="47"/>
      <c r="M8" s="47"/>
    </row>
    <row r="9" ht="14.25" customHeight="1">
      <c r="A9" s="47"/>
      <c r="B9" s="54" t="s">
        <v>122</v>
      </c>
      <c r="C9" s="55">
        <v>50.0</v>
      </c>
      <c r="D9" s="56">
        <v>40.0</v>
      </c>
      <c r="E9" s="55">
        <f t="shared" si="1"/>
        <v>2000</v>
      </c>
      <c r="F9" s="55">
        <f t="shared" si="2"/>
        <v>1800</v>
      </c>
      <c r="G9" s="47"/>
      <c r="H9" s="53" t="s">
        <v>123</v>
      </c>
      <c r="I9" s="50"/>
      <c r="J9" s="47"/>
      <c r="M9" s="47"/>
    </row>
    <row r="10" ht="14.25" customHeight="1">
      <c r="A10" s="47"/>
      <c r="B10" s="54" t="s">
        <v>124</v>
      </c>
      <c r="C10" s="55">
        <v>65.0</v>
      </c>
      <c r="D10" s="56">
        <v>30.0</v>
      </c>
      <c r="E10" s="55">
        <f t="shared" si="1"/>
        <v>1950</v>
      </c>
      <c r="F10" s="55">
        <f t="shared" si="2"/>
        <v>1755</v>
      </c>
      <c r="G10" s="47"/>
      <c r="H10" s="63" t="s">
        <v>125</v>
      </c>
      <c r="I10" s="64">
        <v>50.0</v>
      </c>
      <c r="J10" s="47"/>
      <c r="M10" s="47"/>
    </row>
    <row r="11" ht="14.25" customHeight="1">
      <c r="A11" s="47"/>
      <c r="B11" s="54" t="s">
        <v>126</v>
      </c>
      <c r="C11" s="55">
        <v>75.0</v>
      </c>
      <c r="D11" s="56">
        <v>30.0</v>
      </c>
      <c r="E11" s="55">
        <f t="shared" si="1"/>
        <v>2250</v>
      </c>
      <c r="F11" s="55">
        <f t="shared" si="2"/>
        <v>2025</v>
      </c>
      <c r="G11" s="47"/>
      <c r="H11" s="63" t="s">
        <v>127</v>
      </c>
      <c r="I11" s="63">
        <f>I4+I10</f>
        <v>440</v>
      </c>
      <c r="J11" s="47"/>
      <c r="K11" s="47"/>
      <c r="L11" s="47"/>
      <c r="M11" s="47"/>
    </row>
    <row r="12" ht="14.25" customHeight="1">
      <c r="A12" s="47"/>
      <c r="B12" s="65" t="s">
        <v>128</v>
      </c>
      <c r="C12" s="62">
        <v>90.0</v>
      </c>
      <c r="D12" s="56">
        <v>60.0</v>
      </c>
      <c r="E12" s="62">
        <f t="shared" si="1"/>
        <v>5400</v>
      </c>
      <c r="F12" s="62">
        <f t="shared" si="2"/>
        <v>4860</v>
      </c>
      <c r="G12" s="47"/>
      <c r="H12" s="63" t="s">
        <v>129</v>
      </c>
      <c r="I12" s="66">
        <v>75.0</v>
      </c>
      <c r="J12" s="47"/>
      <c r="K12" s="53" t="s">
        <v>130</v>
      </c>
      <c r="L12" s="50"/>
      <c r="M12" s="47"/>
    </row>
    <row r="13" ht="14.25" customHeight="1">
      <c r="A13" s="47"/>
      <c r="B13" s="54" t="s">
        <v>131</v>
      </c>
      <c r="C13" s="55">
        <v>120.0</v>
      </c>
      <c r="D13" s="56">
        <v>0.0</v>
      </c>
      <c r="E13" s="55">
        <f t="shared" si="1"/>
        <v>0</v>
      </c>
      <c r="F13" s="62">
        <f t="shared" si="2"/>
        <v>0</v>
      </c>
      <c r="G13" s="47"/>
      <c r="H13" s="63" t="s">
        <v>132</v>
      </c>
      <c r="I13" s="58">
        <f>I12*I11</f>
        <v>33000</v>
      </c>
      <c r="J13" s="47"/>
      <c r="K13" s="57" t="s">
        <v>133</v>
      </c>
      <c r="L13" s="57"/>
      <c r="M13" s="47"/>
    </row>
    <row r="14" ht="14.25" customHeight="1">
      <c r="A14" s="47"/>
      <c r="B14" s="67" t="s">
        <v>134</v>
      </c>
      <c r="C14" s="62">
        <v>35.0</v>
      </c>
      <c r="D14" s="56">
        <v>40.0</v>
      </c>
      <c r="E14" s="62">
        <f t="shared" si="1"/>
        <v>1400</v>
      </c>
      <c r="F14" s="62">
        <f t="shared" ref="F14:F16" si="3">E14</f>
        <v>1400</v>
      </c>
      <c r="G14" s="47"/>
      <c r="H14" s="47"/>
      <c r="I14" s="47"/>
      <c r="J14" s="47"/>
      <c r="K14" s="57"/>
      <c r="L14" s="57"/>
      <c r="M14" s="47"/>
    </row>
    <row r="15" ht="14.25" customHeight="1">
      <c r="A15" s="47"/>
      <c r="B15" s="67" t="s">
        <v>135</v>
      </c>
      <c r="C15" s="68">
        <v>55.0</v>
      </c>
      <c r="D15" s="56">
        <v>40.0</v>
      </c>
      <c r="E15" s="62">
        <f t="shared" si="1"/>
        <v>2200</v>
      </c>
      <c r="F15" s="62">
        <f t="shared" si="3"/>
        <v>2200</v>
      </c>
      <c r="G15" s="47"/>
      <c r="H15" s="47"/>
      <c r="I15" s="47"/>
      <c r="J15" s="47"/>
      <c r="K15" s="57" t="s">
        <v>136</v>
      </c>
      <c r="L15" s="57"/>
      <c r="M15" s="47"/>
    </row>
    <row r="16" ht="14.25" customHeight="1">
      <c r="A16" s="47"/>
      <c r="B16" s="54" t="s">
        <v>137</v>
      </c>
      <c r="C16" s="55">
        <v>120.0</v>
      </c>
      <c r="D16" s="56">
        <v>30.0</v>
      </c>
      <c r="E16" s="55">
        <f t="shared" si="1"/>
        <v>3600</v>
      </c>
      <c r="F16" s="55">
        <f t="shared" si="3"/>
        <v>3600</v>
      </c>
      <c r="G16" s="47"/>
      <c r="H16" s="47"/>
      <c r="I16" s="47"/>
      <c r="J16" s="47"/>
      <c r="K16" s="57" t="s">
        <v>138</v>
      </c>
      <c r="L16" s="57"/>
      <c r="M16" s="47"/>
    </row>
    <row r="17" ht="14.25" customHeight="1">
      <c r="A17" s="47"/>
      <c r="B17" s="69" t="s">
        <v>116</v>
      </c>
      <c r="C17" s="49"/>
      <c r="D17" s="49"/>
      <c r="E17" s="49"/>
      <c r="F17" s="50"/>
      <c r="G17" s="47"/>
      <c r="H17" s="47"/>
      <c r="I17" s="47"/>
      <c r="J17" s="47"/>
      <c r="K17" s="57" t="s">
        <v>139</v>
      </c>
      <c r="L17" s="57"/>
      <c r="M17" s="47"/>
    </row>
    <row r="18" ht="14.25" customHeight="1">
      <c r="A18" s="47"/>
      <c r="B18" s="70" t="s">
        <v>140</v>
      </c>
      <c r="C18" s="71"/>
      <c r="D18" s="57">
        <f t="shared" ref="D18:E18" si="4">SUM(D4:D16)</f>
        <v>390</v>
      </c>
      <c r="E18" s="58">
        <f t="shared" si="4"/>
        <v>24000</v>
      </c>
      <c r="F18" s="72">
        <f>E18*0.9</f>
        <v>21600</v>
      </c>
      <c r="G18" s="47"/>
      <c r="H18" s="47"/>
      <c r="I18" s="47"/>
      <c r="J18" s="47"/>
      <c r="K18" s="57" t="s">
        <v>141</v>
      </c>
      <c r="L18" s="57"/>
      <c r="M18" s="47"/>
    </row>
    <row r="19" ht="14.25" customHeight="1">
      <c r="A19" s="47"/>
      <c r="B19" s="47"/>
      <c r="C19" s="47"/>
      <c r="D19" s="47"/>
      <c r="E19" s="47"/>
      <c r="F19" s="73"/>
      <c r="G19" s="47"/>
      <c r="H19" s="47"/>
      <c r="I19" s="47"/>
      <c r="J19" s="47"/>
      <c r="K19" s="57" t="s">
        <v>142</v>
      </c>
      <c r="L19" s="57"/>
      <c r="M19" s="47"/>
    </row>
    <row r="20" ht="14.25" customHeight="1">
      <c r="A20" s="47"/>
      <c r="B20" s="47"/>
      <c r="C20" s="47"/>
      <c r="D20" s="74" t="s">
        <v>143</v>
      </c>
      <c r="E20" s="50"/>
      <c r="F20" s="47"/>
      <c r="G20" s="47"/>
      <c r="H20" s="47"/>
      <c r="I20" s="47"/>
      <c r="J20" s="47"/>
      <c r="K20" s="57" t="s">
        <v>144</v>
      </c>
      <c r="L20" s="57"/>
      <c r="M20" s="47"/>
    </row>
    <row r="21" ht="14.25" customHeight="1">
      <c r="A21" s="47"/>
      <c r="B21" s="47"/>
      <c r="C21" s="47"/>
      <c r="D21" s="57" t="s">
        <v>145</v>
      </c>
      <c r="E21" s="72">
        <f>E18/D18</f>
        <v>61.53846154</v>
      </c>
      <c r="F21" s="47"/>
      <c r="G21" s="47"/>
      <c r="H21" s="47"/>
      <c r="I21" s="47"/>
      <c r="J21" s="47"/>
      <c r="K21" s="57" t="s">
        <v>146</v>
      </c>
      <c r="L21" s="57"/>
      <c r="M21" s="47"/>
    </row>
    <row r="22" ht="14.25" customHeight="1">
      <c r="A22" s="47"/>
      <c r="B22" s="47"/>
      <c r="C22" s="47"/>
      <c r="D22" s="57" t="s">
        <v>147</v>
      </c>
      <c r="E22" s="72">
        <f>F18/D18</f>
        <v>55.38461538</v>
      </c>
      <c r="F22" s="47"/>
      <c r="G22" s="47"/>
      <c r="H22" s="47"/>
      <c r="I22" s="47"/>
      <c r="J22" s="47"/>
      <c r="K22" s="57" t="s">
        <v>148</v>
      </c>
      <c r="L22" s="57"/>
      <c r="M22" s="47"/>
    </row>
    <row r="23" ht="14.25" customHeight="1">
      <c r="A23" s="47"/>
      <c r="B23" s="47"/>
      <c r="C23" s="47"/>
      <c r="E23" s="47"/>
      <c r="F23" s="47"/>
      <c r="G23" s="47"/>
      <c r="H23" s="47"/>
      <c r="I23" s="47"/>
      <c r="J23" s="47"/>
      <c r="K23" s="57"/>
      <c r="L23" s="57"/>
      <c r="M23" s="47"/>
    </row>
    <row r="24" ht="14.25" customHeight="1">
      <c r="A24" s="47"/>
      <c r="B24" s="47"/>
      <c r="C24" s="47"/>
      <c r="D24" s="47"/>
      <c r="E24" s="47"/>
      <c r="F24" s="47"/>
      <c r="G24" s="47"/>
      <c r="H24" s="47"/>
      <c r="I24" s="47"/>
      <c r="J24" s="47"/>
      <c r="K24" s="75"/>
      <c r="L24" s="57"/>
      <c r="M24" s="47"/>
    </row>
    <row r="25" ht="14.25" customHeight="1">
      <c r="A25" s="47"/>
      <c r="B25" s="47"/>
      <c r="C25" s="47"/>
      <c r="D25" s="47"/>
      <c r="E25" s="47"/>
      <c r="F25" s="47"/>
      <c r="G25" s="47"/>
      <c r="H25" s="47"/>
      <c r="I25" s="47"/>
      <c r="J25" s="47"/>
      <c r="K25" s="57"/>
      <c r="L25" s="57"/>
      <c r="M25" s="47"/>
    </row>
    <row r="26" ht="14.25" customHeight="1">
      <c r="A26" s="47"/>
      <c r="B26" s="47"/>
      <c r="C26" s="47"/>
      <c r="D26" s="47"/>
      <c r="E26" s="47"/>
      <c r="F26" s="47"/>
      <c r="G26" s="47"/>
      <c r="H26" s="47"/>
      <c r="I26" s="47"/>
      <c r="J26" s="47"/>
      <c r="K26" s="57"/>
      <c r="L26" s="57"/>
      <c r="M26" s="47"/>
    </row>
    <row r="27" ht="14.25" customHeight="1">
      <c r="A27" s="47"/>
      <c r="B27" s="47"/>
      <c r="C27" s="47"/>
      <c r="D27" s="47"/>
      <c r="E27" s="47"/>
      <c r="F27" s="47"/>
      <c r="G27" s="47"/>
      <c r="H27" s="47"/>
      <c r="I27" s="47"/>
      <c r="J27" s="47"/>
      <c r="K27" s="57" t="s">
        <v>149</v>
      </c>
      <c r="L27" s="57">
        <f>SUM(L13:L26)</f>
        <v>0</v>
      </c>
      <c r="M27" s="47"/>
    </row>
    <row r="28" ht="14.25" customHeight="1">
      <c r="A28" s="47"/>
      <c r="B28" s="47"/>
      <c r="C28" s="47"/>
      <c r="D28" s="47"/>
      <c r="E28" s="47"/>
      <c r="F28" s="47"/>
      <c r="G28" s="47"/>
      <c r="H28" s="47"/>
      <c r="I28" s="47"/>
      <c r="J28" s="47"/>
      <c r="K28" s="47"/>
      <c r="L28" s="47"/>
      <c r="M28" s="47"/>
    </row>
    <row r="29" ht="14.25" customHeight="1">
      <c r="A29" s="47"/>
      <c r="B29" s="47"/>
      <c r="C29" s="47"/>
      <c r="D29" s="47"/>
      <c r="E29" s="47"/>
      <c r="F29" s="47"/>
      <c r="G29" s="47"/>
      <c r="H29" s="47"/>
      <c r="I29" s="47"/>
      <c r="J29" s="47"/>
      <c r="K29" s="47"/>
      <c r="L29" s="47"/>
      <c r="M29" s="47"/>
    </row>
    <row r="30" ht="14.25" customHeight="1">
      <c r="A30" s="47"/>
      <c r="B30" s="47"/>
      <c r="C30" s="47"/>
      <c r="D30" s="47"/>
      <c r="E30" s="47"/>
      <c r="F30" s="47"/>
      <c r="G30" s="47"/>
      <c r="H30" s="47"/>
      <c r="I30" s="47"/>
      <c r="J30" s="47"/>
      <c r="K30" s="47"/>
      <c r="L30" s="47"/>
      <c r="M30" s="47"/>
    </row>
    <row r="31" ht="14.25" customHeight="1">
      <c r="A31" s="47"/>
      <c r="B31" s="47"/>
      <c r="C31" s="47"/>
      <c r="D31" s="47"/>
      <c r="E31" s="47"/>
      <c r="F31" s="47"/>
      <c r="G31" s="47"/>
      <c r="H31" s="47"/>
      <c r="I31" s="47"/>
      <c r="J31" s="47"/>
      <c r="K31" s="47"/>
      <c r="L31" s="47"/>
      <c r="M31" s="47"/>
    </row>
    <row r="32" ht="14.25" customHeight="1">
      <c r="A32" s="47"/>
      <c r="B32" s="47"/>
      <c r="C32" s="47"/>
      <c r="D32" s="47"/>
      <c r="E32" s="47"/>
      <c r="F32" s="47"/>
      <c r="G32" s="47"/>
      <c r="H32" s="47"/>
      <c r="I32" s="47"/>
      <c r="J32" s="47"/>
      <c r="K32" s="47"/>
      <c r="L32" s="47"/>
      <c r="M32" s="47"/>
    </row>
    <row r="33" ht="14.25" customHeight="1">
      <c r="A33" s="47"/>
      <c r="B33" s="47"/>
      <c r="C33" s="47"/>
      <c r="D33" s="47"/>
      <c r="E33" s="47"/>
      <c r="F33" s="47"/>
      <c r="G33" s="47"/>
      <c r="H33" s="47"/>
      <c r="I33" s="47"/>
      <c r="J33" s="47"/>
      <c r="K33" s="47"/>
      <c r="L33" s="47"/>
      <c r="M33" s="47"/>
    </row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7">
    <mergeCell ref="B2:F2"/>
    <mergeCell ref="B17:F17"/>
    <mergeCell ref="D20:E20"/>
    <mergeCell ref="K12:L12"/>
    <mergeCell ref="H9:I9"/>
    <mergeCell ref="K3:L3"/>
    <mergeCell ref="H3:I3"/>
  </mergeCells>
  <conditionalFormatting sqref="L6">
    <cfRule type="cellIs" dxfId="4" priority="1" operator="lessThanOrEqual">
      <formula>0</formula>
    </cfRule>
  </conditionalFormatting>
  <conditionalFormatting sqref="L6">
    <cfRule type="cellIs" dxfId="5" priority="2" operator="greaterThanOrEqual">
      <formula>1</formula>
    </cfRule>
  </conditionalFormatting>
  <printOptions/>
  <pageMargins bottom="0.787401575" footer="0.0" header="0.0" left="0.511811024" right="0.511811024" top="0.787401575"/>
  <pageSetup orientation="landscape"/>
  <drawing r:id="rId1"/>
</worksheet>
</file>